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AVIOURABILITY" sheetId="1" r:id="rId5"/>
    <sheet state="visible" name="Quest.Utente1" sheetId="2" r:id="rId6"/>
    <sheet state="visible" name="Quest.Utente2" sheetId="3" r:id="rId7"/>
    <sheet state="visible" name="Quest.Utente3" sheetId="4" r:id="rId8"/>
    <sheet state="visible" name="Quest.Utente4" sheetId="5" r:id="rId9"/>
    <sheet state="visible" name="MEDIE" sheetId="6" r:id="rId10"/>
    <sheet state="visible" name="RISULTATI" sheetId="7" r:id="rId11"/>
  </sheets>
  <definedNames/>
  <calcPr/>
</workbook>
</file>

<file path=xl/sharedStrings.xml><?xml version="1.0" encoding="utf-8"?>
<sst xmlns="http://schemas.openxmlformats.org/spreadsheetml/2006/main" count="626" uniqueCount="144">
  <si>
    <t>Decision Making</t>
  </si>
  <si>
    <t xml:space="preserve">Self-Management </t>
  </si>
  <si>
    <t xml:space="preserve">Communication </t>
  </si>
  <si>
    <t>Engagement</t>
  </si>
  <si>
    <t>TASK 1: Pianificare e gestire il percorso di visita per ottimizzare il tempo</t>
  </si>
  <si>
    <t>SE, K&amp;S</t>
  </si>
  <si>
    <t>SE, PC</t>
  </si>
  <si>
    <t>-</t>
  </si>
  <si>
    <t>MOT</t>
  </si>
  <si>
    <t>TASK T2: Comprendere a fondo il patrimonio adattando il livello di dettaglio</t>
  </si>
  <si>
    <t>PC</t>
  </si>
  <si>
    <t>TASK T3: Trasformare la passività in un'esplorazione tematica gratificante</t>
  </si>
  <si>
    <t>* cancellare i fattori di abilità che non sono influenzati dalla proprietà comportamentale corrispondente</t>
  </si>
  <si>
    <t>Legenda</t>
  </si>
  <si>
    <t>SE = Self-Efficacy</t>
  </si>
  <si>
    <t>Colonna 1</t>
  </si>
  <si>
    <t>K&amp;S = Knowledge &amp; Skills</t>
  </si>
  <si>
    <t>PC = Personal Control</t>
  </si>
  <si>
    <t>MOT = Motivation</t>
  </si>
  <si>
    <t>Self Efficacy</t>
  </si>
  <si>
    <t>Scarso</t>
  </si>
  <si>
    <t>Sufficiente</t>
  </si>
  <si>
    <t>Buono</t>
  </si>
  <si>
    <t>Molto Buono</t>
  </si>
  <si>
    <t>Eccellente</t>
  </si>
  <si>
    <t>Valore</t>
  </si>
  <si>
    <t>T1</t>
  </si>
  <si>
    <t>Pianificare e gestire il percorso di visita per ottimizzare il tempo</t>
  </si>
  <si>
    <t>T1_SE1</t>
  </si>
  <si>
    <t>Come valuti la tua sicurezza nel riuscire a individuare e raggiungere autonomamente le opere principali del sito pur avendo poco tempo a disposizione?</t>
  </si>
  <si>
    <t>X</t>
  </si>
  <si>
    <t>T1_SE2</t>
  </si>
  <si>
    <t>Come valuti la tua capacità di orientarti agilmente in un complesso culturale sconosciuto facendoti assistere da indicazioni spaziali in AR?</t>
  </si>
  <si>
    <t>T1_SE3</t>
  </si>
  <si>
    <t>Come valuti la tua sicurezza nell'evitare dispersioni logiche durante la visita mantenendo il focus sui punti di maggior pregio?</t>
  </si>
  <si>
    <t>Knowledge&amp;Skills</t>
  </si>
  <si>
    <t>T1_KS1</t>
  </si>
  <si>
    <t>Che livello di conoscenza pregressa possiedi riguardo alla disposizione logistica e ai grandi classici di questo specifico sito culturale?</t>
  </si>
  <si>
    <t>T1_KS2</t>
  </si>
  <si>
    <t>Come valuti la tua capacità di organizzare mentalmente un itinerario di visita basato sul tempo reale che hai a disposizione?</t>
  </si>
  <si>
    <t>T1_KS3</t>
  </si>
  <si>
    <t>Come valuti la tua capacità di muoverti in siti storici o borghi complessi leggendo l'ambiente circostante?</t>
  </si>
  <si>
    <t>Personal Control</t>
  </si>
  <si>
    <t>T1_PC1</t>
  </si>
  <si>
    <t>Come giudichi la tua capacità di gestire imprevisti spaziali (es. sala chiusa) riorganizzando rapidamente il percorso?</t>
  </si>
  <si>
    <t>T1_PC2</t>
  </si>
  <si>
    <t>Pensi di avere il pieno controllo del tuo tempo per assicurarti di vedere tutto ciò che ti eri prefissato prima di dover rincasare?</t>
  </si>
  <si>
    <t>Motivation</t>
  </si>
  <si>
    <t>T1_MOT1</t>
  </si>
  <si>
    <t>Quanto ti senti motivato/a a cercare un aiuto proattivo per massimizzare la resa della tua visita nel poco tempo disponibile?</t>
  </si>
  <si>
    <t>T1_MOT2</t>
  </si>
  <si>
    <t>Quanto è importante per te avere un'infarinatura generale e intuitiva subito accessibile per non sentirti spaesato?</t>
  </si>
  <si>
    <t>T1_MOT3</t>
  </si>
  <si>
    <t>Quanto ritieni fondamentale il supporto dell'app per abbattere l'ansia di perderti nei corridoi e assicurarti di vedere l'opera principale in tempo?</t>
  </si>
  <si>
    <t>T2</t>
  </si>
  <si>
    <t>Comprendere a fondo il patrimonio adattando il livello di dettaglio</t>
  </si>
  <si>
    <t>T2_SE1</t>
  </si>
  <si>
    <t>Come valuti la tua sicurezza nel comprendere il significato di un reperto complesso facendoti supportare da ricostruzioni in Realtà Aumentata?</t>
  </si>
  <si>
    <t>T2_SE2</t>
  </si>
  <si>
    <t>Come valuti la tua capacità di interrogare attivamente un'opera tramite l'IA per ottenere risposte a curiosità specifiche o retroscena inediti?</t>
  </si>
  <si>
    <t>T2_SE3</t>
  </si>
  <si>
    <t>Come valuti la tua sicurezza nel filtrare dinamicamente i contenuti passando da un livello base a uno accademico senza sentirti frustrato?</t>
  </si>
  <si>
    <t>T2_KS1</t>
  </si>
  <si>
    <t>Che livello di background storico-artistico possiedi per interpretare autonomamente le opere esposte?</t>
  </si>
  <si>
    <t>T2_KS2</t>
  </si>
  <si>
    <t>Come valuti la tua abilità nel cogliere i dettagli nascosti o le sfumature di restauro di un'opera d'arte rispetto a una visione d'insieme?</t>
  </si>
  <si>
    <t>T2_KS3</t>
  </si>
  <si>
    <t>Come valuti la tua capacità di formulare le domande giuste all'IA per approfondire un argomento culturale che ti incuriosisce?</t>
  </si>
  <si>
    <t>T2_PC1</t>
  </si>
  <si>
    <t>Pensi di avere il pieno controllo sulla quantità di informazioni che ricevi potendo decidere quando fermarti per non annoiarti?</t>
  </si>
  <si>
    <t>T2_PC2</t>
  </si>
  <si>
    <t>Come giudichi la tua capacità di compensare autonomamente l'assenza di una guida fisica o di un pannello in un piccolo borgo?</t>
  </si>
  <si>
    <t>T2_MOT1</t>
  </si>
  <si>
    <t>Quanto ti senti motivato/a ad andare oltre la placca ufficiale per scoprire storie occulte o dettagli solitamente ignorati?</t>
  </si>
  <si>
    <t>T2_MOT2</t>
  </si>
  <si>
    <t xml:space="preserve">Quanto è facile per te mantenere vivo l'interesse davanti a un'opera frammentata o decontestualizzata (es. un tempio in rovina)? </t>
  </si>
  <si>
    <t>T2_MOT3</t>
  </si>
  <si>
    <t>Quanto ritieni appagante poter accedere tramite l'app a segreti e retroscena non presenti nelle guide cartacee ufficiali per sentirti realmente coinvolto?</t>
  </si>
  <si>
    <t>T3</t>
  </si>
  <si>
    <t>Trasformare la passività in un'esplorazione tematica gratificante</t>
  </si>
  <si>
    <t>T3_SE1</t>
  </si>
  <si>
    <t>Come valuti la tua sicurezza nell'affrontare una lunga visita culturale mantenendo un ritmo rilassato senza soccombere alla noia?</t>
  </si>
  <si>
    <t>T3_SE2</t>
  </si>
  <si>
    <t>Come valuti la tua capacità di lasciarti guidare fuori dai sentieri battuti seguendo traiettorie tematiche trasversali in app?</t>
  </si>
  <si>
    <t>T3_SE3</t>
  </si>
  <si>
    <t>Come valuti la tua capacità di completare con successo le tappe di un'esplorazione per costruire il tuo diario delle visite?</t>
  </si>
  <si>
    <t>T3_KS1</t>
  </si>
  <si>
    <t>Che livello di conoscenza hai delle curiosità locali e degli aneddoti non convenzionali legati alla tua città/territorio?</t>
  </si>
  <si>
    <t>T3_KS2</t>
  </si>
  <si>
    <t>Come valuti la tua familiarità con le dinamiche di esplorazione a tappe o gamification (sblocco badge e ricordi multimediali)?</t>
  </si>
  <si>
    <t>T3_KS3</t>
  </si>
  <si>
    <t>Come valuti la tua capacità di riconoscere il valore identitario dei luoghi che solitamente vivi solo di sfuggita nella routine?</t>
  </si>
  <si>
    <t>T3_PC1</t>
  </si>
  <si>
    <t>Pensi di avere il controllo nel dettare i ritmi della tua visita esplorativa alternando momenti di focus a momenti di svago?</t>
  </si>
  <si>
    <t>T3_PC2</t>
  </si>
  <si>
    <t>Come giudichi la tua capacità di mantenere viva l'attenzione anche in passaggi logistici meno affascinanti (es. corridoi di transito)?</t>
  </si>
  <si>
    <t>T3_MOT1</t>
  </si>
  <si>
    <t>Quanto ti senti motivato/a a trasformare la tua visita in una sfida gratificante collezionando ricordi multimediali e punti?</t>
  </si>
  <si>
    <t>T3_MOT2</t>
  </si>
  <si>
    <t>Quanto è facile per te trovare lo stimolo iniziale per visitare un luogo vicino a casa tua che hai sempre rimandato di vedere?</t>
  </si>
  <si>
    <t>T3_MOT3</t>
  </si>
  <si>
    <t>Quanto valuti stimolante la possibilità di sbloccare ricompense o sconti locali come incentivo per tornare a visitare il sito culturale in futuro?</t>
  </si>
  <si>
    <t>Task</t>
  </si>
  <si>
    <t>ISE</t>
  </si>
  <si>
    <t>IKS</t>
  </si>
  <si>
    <t>IPC</t>
  </si>
  <si>
    <t>IMOT</t>
  </si>
  <si>
    <t>Cercare e scegliere un hotel a Venezia</t>
  </si>
  <si>
    <t>Come valuti la tua sicurezza nel scegliere un hotel adatto alle tue esigenze utilizzando un'app di prenotazione?</t>
  </si>
  <si>
    <t>MEDIA DELLE RISPOSTE</t>
  </si>
  <si>
    <t>Come valuti la tua capacità di confrontare diverse opzioni di hotel (prezzo, posizione, recensioni) in modo efficace?</t>
  </si>
  <si>
    <t>Come valuti il supporto che ricevi dagli strumenti digitali (filtri, mappe, recensioni) per scegliere un hotel?</t>
  </si>
  <si>
    <t>MEDIA TRA I VALORI MEDI RELATIVI A QUELL'ABILITA'</t>
  </si>
  <si>
    <t>Che livello di conoscenza hai delle zone e dei quartieri di Venezia per scegliere la posizione dell'hotel?</t>
  </si>
  <si>
    <t>Come valuti la tua competenza nell'uso di app di prenotazione alberghiera (Booking, Expedia, ecc.)?</t>
  </si>
  <si>
    <t>Come valuti la tua capacità di interpretare correttamente le informazioni di un annuncio (politiche di cancellazione, servizi inclusi, ecc.)?</t>
  </si>
  <si>
    <t>Come giudichi la tua capacità di gestire imprevisti durante la prenotazione (es. hotel non disponibile, cambio di date)?</t>
  </si>
  <si>
    <t>Pensi di avere il pieno controllo del processo di ricerca e prenotazione di un hotel?</t>
  </si>
  <si>
    <t>Quanto è facile per te dedicare il tempo necessario a cercare l'hotel migliore?</t>
  </si>
  <si>
    <t>Quanto ti senti motivato/a a esplorare più opzioni prima di prendere una decisione?</t>
  </si>
  <si>
    <t>Descrivi le tue preoccupazioni, aspettative e il valore che attribuisci a questo task</t>
  </si>
  <si>
    <t>Prenotare un mezzo di trasporto per raggiungere Venezia</t>
  </si>
  <si>
    <t>Come valuti la tua sicurezza nello scegliere il mezzo di trasporto più adatto (treno, aereo, autobus, auto) per raggiungere Venezia?</t>
  </si>
  <si>
    <t>Come valuti la tua capacità di completare una prenotazione di trasporto online in autonomia?</t>
  </si>
  <si>
    <t>Come valuti la tua capacità di confrontare prezzi, orari e durata del viaggio tra diverse opzioni di trasporto?</t>
  </si>
  <si>
    <t>Che livello di conoscenza hai delle diverse modalità di trasporto disponibili per raggiungere Venezia dalla tua città?</t>
  </si>
  <si>
    <t>Come valuti la tua competenza nell'uso di piattaforme di prenotazione trasporti (Omio, Trenitalia, Flixbus, ecc.)?</t>
  </si>
  <si>
    <t>Come valuti la tua comprensione delle condizioni di viaggio (bagagli, cambi, rimborsi)?</t>
  </si>
  <si>
    <t>Come giudichi la tua capacità di gestire imprevisti legati al trasporto (es. ritardi, cancellazioni, cambio di itinerario)?</t>
  </si>
  <si>
    <t>Pensi di avere il controllo del processo di prenotazione del trasporto?</t>
  </si>
  <si>
    <t>Quanto è facile per te organizzare la parte del trasporto del viaggio?</t>
  </si>
  <si>
    <t>Quanto ti senti motivato/a a cercare la soluzione di trasporto ottimale (miglior rapporto qualità-prezzo)?</t>
  </si>
  <si>
    <t xml:space="preserve">Descrivi le tue preoccupazioni, aspettative e il valore che attribuisci a questo task </t>
  </si>
  <si>
    <t>Pianificare un'attività da fare a Venezia</t>
  </si>
  <si>
    <t>Come valuti la tua sicurezza nel pianificare attività da fare a Venezia (visite, escursioni, esperienze)?</t>
  </si>
  <si>
    <t>Come valuti la tua capacità di organizzare un programma giornaliero di attività in modo realistico?</t>
  </si>
  <si>
    <t>Come valuti la tua capacità di trovare e prenotare attività ed esperienze tramite app o siti web?</t>
  </si>
  <si>
    <t>Che livello di conoscenza hai delle attrazioni e delle attività disponibili a Venezia?</t>
  </si>
  <si>
    <t>Come valuti la tua competenza nell'uso di strumenti digitali per scoprire e prenotare attività turistiche?</t>
  </si>
  <si>
    <t>Come valuti la tua conoscenza degli aspetti pratici (orari, costi, prenotazioni obbligatorie) delle attività a Venezia?</t>
  </si>
  <si>
    <t>Come giudichi la tua capacità di gestire cambi di programma o imprevisti nella pianificazione delle attività?</t>
  </si>
  <si>
    <t>Pensi di avere il controllo completo sulla pianificazione delle attività del viaggio?</t>
  </si>
  <si>
    <t>Quanto è facile per te esplorare e scegliere attività interessanti da fare a Venezia?</t>
  </si>
  <si>
    <t>Quanto ti senti motivato/a a pianificare le attività in anticipo piuttosto che improvvisare?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</si>
</sst>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0.0"/>
      <color rgb="FF000000"/>
      <name val="Arial"/>
      <scheme val="minor"/>
    </font>
    <font>
      <sz val="12.0"/>
      <color theme="1"/>
      <name val="Calibri"/>
    </font>
    <font>
      <b/>
      <i/>
      <sz val="16.0"/>
      <color rgb="FF003366"/>
      <name val="Times New Roman"/>
    </font>
    <font>
      <i/>
      <sz val="12.0"/>
      <color theme="1"/>
      <name val="Calibri"/>
    </font>
    <font>
      <sz val="16.0"/>
      <color rgb="FF000000"/>
      <name val="Times"/>
    </font>
    <font>
      <sz val="16.0"/>
      <color theme="1"/>
      <name val="Times"/>
    </font>
    <font>
      <sz val="17.0"/>
      <color theme="1"/>
      <name val="Times"/>
    </font>
    <font>
      <sz val="16.0"/>
      <color rgb="FF003366"/>
      <name val="Times"/>
    </font>
    <font>
      <b/>
      <sz val="17.0"/>
      <color rgb="FF003366"/>
      <name val="Times"/>
    </font>
    <font>
      <b/>
      <sz val="16.0"/>
      <color rgb="FF003366"/>
      <name val="Times"/>
    </font>
    <font>
      <b/>
      <i/>
      <sz val="16.0"/>
      <color theme="1"/>
      <name val="Times New Roman"/>
    </font>
    <font>
      <sz val="16.0"/>
      <color theme="1"/>
      <name val="Times New Roman"/>
    </font>
    <font>
      <b/>
      <sz val="16.0"/>
      <color theme="1"/>
      <name val="Times New Roman"/>
    </font>
    <font>
      <b/>
      <sz val="12.0"/>
      <color theme="1"/>
      <name val="Calibri"/>
    </font>
    <font>
      <b/>
      <sz val="16.0"/>
      <color rgb="FFFF0000"/>
      <name val="Times New Roman"/>
    </font>
    <font>
      <i/>
      <sz val="9.0"/>
      <color rgb="FFC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BDEDE"/>
        <bgColor rgb="FFCBDEDE"/>
      </patternFill>
    </fill>
    <fill>
      <patternFill patternType="solid">
        <fgColor rgb="FFEEE5D7"/>
        <bgColor rgb="FFEEE5D7"/>
      </patternFill>
    </fill>
    <fill>
      <patternFill patternType="solid">
        <fgColor rgb="FFE7EFEF"/>
        <bgColor rgb="FFE7EFEF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</fills>
  <borders count="4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/>
      <right/>
      <top/>
      <bottom/>
    </border>
    <border>
      <left style="medium">
        <color rgb="FFFFFFFF"/>
      </left>
      <right style="medium">
        <color rgb="FFFFFFFF"/>
      </right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3" fontId="4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2" fillId="2" fontId="8" numFmtId="0" xfId="0" applyAlignment="1" applyBorder="1" applyFont="1">
      <alignment horizontal="center" readingOrder="0" shrinkToFit="0" vertical="center" wrapText="1"/>
    </xf>
    <xf borderId="2" fillId="2" fontId="9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shrinkToFit="0" vertical="center" wrapText="0"/>
    </xf>
    <xf borderId="2" fillId="2" fontId="1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4" fontId="7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readingOrder="0" shrinkToFit="0" vertical="bottom" wrapText="1"/>
    </xf>
    <xf borderId="1" fillId="4" fontId="1" numFmtId="0" xfId="0" applyAlignment="1" applyBorder="1" applyFont="1">
      <alignment shrinkToFit="0" vertical="center" wrapText="0"/>
    </xf>
    <xf borderId="1" fillId="2" fontId="1" numFmtId="0" xfId="0" applyBorder="1" applyFont="1"/>
    <xf borderId="1" fillId="5" fontId="10" numFmtId="0" xfId="0" applyAlignment="1" applyBorder="1" applyFill="1" applyFont="1">
      <alignment horizontal="center" readingOrder="0" shrinkToFit="0" wrapText="1"/>
    </xf>
    <xf borderId="1" fillId="2" fontId="7" numFmtId="0" xfId="0" applyAlignment="1" applyBorder="1" applyFont="1">
      <alignment horizontal="center" shrinkToFit="0" wrapText="1"/>
    </xf>
    <xf borderId="3" fillId="2" fontId="7" numFmtId="0" xfId="0" applyAlignment="1" applyBorder="1" applyFont="1">
      <alignment horizontal="center" shrinkToFit="0" wrapText="1"/>
    </xf>
    <xf borderId="1" fillId="6" fontId="11" numFmtId="0" xfId="0" applyAlignment="1" applyBorder="1" applyFill="1" applyFont="1">
      <alignment readingOrder="0" shrinkToFit="0" wrapText="1"/>
    </xf>
    <xf borderId="3" fillId="2" fontId="1" numFmtId="0" xfId="0" applyBorder="1" applyFont="1"/>
    <xf borderId="2" fillId="2" fontId="9" numFmtId="0" xfId="0" applyAlignment="1" applyBorder="1" applyFont="1">
      <alignment horizontal="center" shrinkToFit="0" wrapText="1"/>
    </xf>
    <xf borderId="1" fillId="6" fontId="12" numFmtId="164" xfId="0" applyAlignment="1" applyBorder="1" applyFont="1" applyNumberFormat="1">
      <alignment horizontal="right" shrinkToFit="0" wrapText="1"/>
    </xf>
    <xf borderId="2" fillId="2" fontId="1" numFmtId="0" xfId="0" applyBorder="1" applyFont="1"/>
    <xf borderId="0" fillId="0" fontId="3" numFmtId="0" xfId="0" applyAlignment="1" applyFont="1">
      <alignment shrinkToFit="0" vertical="bottom" wrapText="1"/>
    </xf>
    <xf borderId="1" fillId="5" fontId="11" numFmtId="0" xfId="0" applyAlignment="1" applyBorder="1" applyFont="1">
      <alignment readingOrder="0" shrinkToFit="0" wrapText="1"/>
    </xf>
    <xf borderId="1" fillId="5" fontId="12" numFmtId="2" xfId="0" applyAlignment="1" applyBorder="1" applyFont="1" applyNumberFormat="1">
      <alignment horizontal="right" shrinkToFit="0" wrapText="1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1" fillId="4" fontId="7" numFmtId="0" xfId="0" applyAlignment="1" applyBorder="1" applyFont="1">
      <alignment horizontal="center" shrinkToFit="0" wrapText="1"/>
    </xf>
    <xf borderId="1" fillId="6" fontId="14" numFmtId="164" xfId="0" applyAlignment="1" applyBorder="1" applyFont="1" applyNumberFormat="1">
      <alignment horizontal="right" shrinkToFit="0" wrapText="1"/>
    </xf>
    <xf borderId="0" fillId="0" fontId="1" numFmtId="0" xfId="0" applyAlignment="1" applyFont="1">
      <alignment shrinkToFit="0" vertical="bottom" wrapText="1"/>
    </xf>
    <xf borderId="0" fillId="0" fontId="15" numFmtId="0" xfId="0" applyAlignment="1" applyFont="1">
      <alignment vertical="bottom"/>
    </xf>
    <xf borderId="1" fillId="4" fontId="1" numFmtId="0" xfId="0" applyBorder="1" applyFont="1"/>
    <xf borderId="1" fillId="2" fontId="7" numFmtId="2" xfId="0" applyAlignment="1" applyBorder="1" applyFont="1" applyNumberFormat="1">
      <alignment horizontal="right" shrinkToFit="0" wrapText="1"/>
    </xf>
    <xf borderId="1" fillId="2" fontId="7" numFmtId="0" xfId="0" applyAlignment="1" applyBorder="1" applyFont="1">
      <alignment horizontal="right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EEE5D7"/>
          <bgColor rgb="FFEEE5D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EEE5D7"/>
        </left>
        <right style="thin">
          <color rgb="FFEEE5D7"/>
        </right>
        <top style="thin">
          <color rgb="FFEEE5D7"/>
        </top>
        <bottom style="thin">
          <color rgb="FFEEE5D7"/>
        </bottom>
      </border>
    </dxf>
  </dxfs>
  <tableStyles count="4">
    <tableStyle count="4" pivot="0" name="Quest.Utente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est.Utente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est.Utente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est.Utente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6" displayName="Tabella_1" name="Tabella_1" id="2">
  <tableColumns count="8">
    <tableColumn name="Colonna 1" id="1"/>
    <tableColumn name="Self Efficacy" id="2"/>
    <tableColumn name="Scarso" id="3"/>
    <tableColumn name="Sufficiente" id="4"/>
    <tableColumn name="Buono" id="5"/>
    <tableColumn name="Molto Buono" id="6"/>
    <tableColumn name="Eccellente" id="7"/>
    <tableColumn name="Valore" id="8"/>
  </tableColumns>
  <tableStyleInfo name="Quest.Utente1-style" showColumnStripes="0" showFirstColumn="1" showLastColumn="1" showRowStripes="1"/>
</table>
</file>

<file path=xl/tables/table2.xml><?xml version="1.0" encoding="utf-8"?>
<table xmlns="http://schemas.openxmlformats.org/spreadsheetml/2006/main" ref="A1:H46" displayName="Tabella_2" name="Tabella_2" id="1">
  <tableColumns count="8">
    <tableColumn name="Colonna 1" id="1"/>
    <tableColumn name="Self Efficacy" id="2"/>
    <tableColumn name="Scarso" id="3"/>
    <tableColumn name="Sufficiente" id="4"/>
    <tableColumn name="Buono" id="5"/>
    <tableColumn name="Molto Buono" id="6"/>
    <tableColumn name="Eccellente" id="7"/>
    <tableColumn name="Valore" id="8"/>
  </tableColumns>
  <tableStyleInfo name="Quest.Utente2-style" showColumnStripes="0" showFirstColumn="1" showLastColumn="1" showRowStripes="1"/>
</table>
</file>

<file path=xl/tables/table3.xml><?xml version="1.0" encoding="utf-8"?>
<table xmlns="http://schemas.openxmlformats.org/spreadsheetml/2006/main" ref="A1:H46" displayName="Tabella_3" name="Tabella_3" id="3">
  <tableColumns count="8">
    <tableColumn name="Colonna 1" id="1"/>
    <tableColumn name="Self Efficacy" id="2"/>
    <tableColumn name="Scarso" id="3"/>
    <tableColumn name="Sufficiente" id="4"/>
    <tableColumn name="Buono" id="5"/>
    <tableColumn name="Molto Buono" id="6"/>
    <tableColumn name="Eccellente" id="7"/>
    <tableColumn name="Valore" id="8"/>
  </tableColumns>
  <tableStyleInfo name="Quest.Utente3-style" showColumnStripes="0" showFirstColumn="1" showLastColumn="1" showRowStripes="1"/>
</table>
</file>

<file path=xl/tables/table4.xml><?xml version="1.0" encoding="utf-8"?>
<table xmlns="http://schemas.openxmlformats.org/spreadsheetml/2006/main" ref="A1:H46" displayName="Tabella_4" name="Tabella_4" id="4">
  <tableColumns count="8">
    <tableColumn name="Colonna 1" id="1"/>
    <tableColumn name="Self Efficacy" id="2"/>
    <tableColumn name="Scarso" id="3"/>
    <tableColumn name="Sufficiente" id="4"/>
    <tableColumn name="Buono" id="5"/>
    <tableColumn name="Molto Buono" id="6"/>
    <tableColumn name="Eccellente" id="7"/>
    <tableColumn name="Valore" id="8"/>
  </tableColumns>
  <tableStyleInfo name="Quest.Utente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3" t="s">
        <v>4</v>
      </c>
      <c r="B2" s="4" t="s">
        <v>5</v>
      </c>
      <c r="C2" s="4" t="s">
        <v>6</v>
      </c>
      <c r="D2" s="5" t="s">
        <v>7</v>
      </c>
      <c r="E2" s="4" t="s">
        <v>8</v>
      </c>
    </row>
    <row r="3">
      <c r="A3" s="3" t="s">
        <v>9</v>
      </c>
      <c r="B3" s="4" t="s">
        <v>5</v>
      </c>
      <c r="C3" s="4" t="s">
        <v>10</v>
      </c>
      <c r="D3" s="5" t="s">
        <v>7</v>
      </c>
      <c r="E3" s="4" t="s">
        <v>8</v>
      </c>
    </row>
    <row r="4">
      <c r="A4" s="3" t="s">
        <v>11</v>
      </c>
      <c r="B4" s="4" t="s">
        <v>5</v>
      </c>
      <c r="C4" s="4" t="s">
        <v>10</v>
      </c>
      <c r="D4" s="5" t="s">
        <v>7</v>
      </c>
      <c r="E4" s="4" t="s">
        <v>8</v>
      </c>
    </row>
    <row r="5">
      <c r="A5" s="5"/>
      <c r="B5" s="5"/>
      <c r="C5" s="5"/>
      <c r="D5" s="5"/>
      <c r="E5" s="5"/>
    </row>
    <row r="6">
      <c r="A6" s="5"/>
      <c r="B6" s="5"/>
      <c r="C6" s="5"/>
      <c r="D6" s="5"/>
      <c r="E6" s="5"/>
    </row>
    <row r="7">
      <c r="A7" s="5"/>
      <c r="B7" s="5"/>
      <c r="C7" s="5"/>
      <c r="D7" s="5"/>
      <c r="E7" s="5"/>
    </row>
    <row r="8">
      <c r="A8" s="5"/>
      <c r="B8" s="5"/>
      <c r="C8" s="5"/>
      <c r="D8" s="5"/>
      <c r="E8" s="5"/>
    </row>
    <row r="9">
      <c r="A9" s="5"/>
      <c r="B9" s="5"/>
      <c r="C9" s="5"/>
      <c r="D9" s="5"/>
      <c r="E9" s="5"/>
    </row>
    <row r="10">
      <c r="A10" s="5"/>
      <c r="B10" s="5"/>
      <c r="C10" s="5"/>
      <c r="D10" s="5"/>
      <c r="E10" s="5"/>
    </row>
    <row r="11">
      <c r="A11" s="5"/>
      <c r="B11" s="5"/>
      <c r="C11" s="5"/>
      <c r="D11" s="5"/>
      <c r="E11" s="5"/>
    </row>
    <row r="12">
      <c r="A12" s="5"/>
      <c r="B12" s="5"/>
      <c r="C12" s="5"/>
      <c r="D12" s="5"/>
      <c r="E12" s="5"/>
    </row>
    <row r="13">
      <c r="A13" s="5"/>
      <c r="B13" s="5"/>
      <c r="C13" s="5"/>
      <c r="D13" s="5"/>
      <c r="E13" s="5"/>
    </row>
    <row r="14">
      <c r="A14" s="5"/>
      <c r="B14" s="5"/>
      <c r="C14" s="5"/>
      <c r="D14" s="5"/>
      <c r="E14" s="5"/>
    </row>
    <row r="15">
      <c r="A15" s="5" t="s">
        <v>12</v>
      </c>
      <c r="B15" s="5"/>
      <c r="C15" s="5"/>
      <c r="D15" s="5"/>
      <c r="E15" s="5"/>
    </row>
    <row r="16">
      <c r="A16" s="5" t="s">
        <v>13</v>
      </c>
      <c r="B16" s="5"/>
      <c r="C16" s="5"/>
      <c r="D16" s="5"/>
      <c r="E16" s="5"/>
    </row>
    <row r="17">
      <c r="A17" s="4" t="s">
        <v>14</v>
      </c>
      <c r="B17" s="5"/>
      <c r="C17" s="5"/>
      <c r="D17" s="5"/>
      <c r="E17" s="5"/>
    </row>
    <row r="18">
      <c r="A18" s="4" t="s">
        <v>16</v>
      </c>
      <c r="B18" s="5"/>
      <c r="C18" s="5"/>
      <c r="D18" s="5"/>
      <c r="E18" s="5"/>
    </row>
    <row r="19">
      <c r="A19" s="4" t="s">
        <v>17</v>
      </c>
      <c r="B19" s="5"/>
      <c r="C19" s="5"/>
      <c r="D19" s="5"/>
      <c r="E19" s="5"/>
    </row>
    <row r="20">
      <c r="A20" s="4" t="s">
        <v>18</v>
      </c>
      <c r="B20" s="5"/>
      <c r="C20" s="5"/>
      <c r="D20" s="5"/>
      <c r="E2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59.13"/>
    <col customWidth="1" min="4" max="4" width="17.88"/>
    <col customWidth="1" min="6" max="6" width="28.13"/>
    <col customWidth="1" min="7" max="7" width="20.13"/>
    <col customWidth="1" min="8" max="8" width="15.75"/>
  </cols>
  <sheetData>
    <row r="1" ht="22.5" customHeight="1">
      <c r="A1" s="6" t="s">
        <v>15</v>
      </c>
      <c r="B1" s="8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11" t="s">
        <v>25</v>
      </c>
    </row>
    <row r="2" ht="22.5" customHeight="1">
      <c r="A2" s="12" t="s">
        <v>26</v>
      </c>
      <c r="B2" s="14" t="s">
        <v>27</v>
      </c>
      <c r="C2" s="16"/>
      <c r="D2" s="16"/>
      <c r="E2" s="16"/>
      <c r="F2" s="16"/>
      <c r="G2" s="16"/>
      <c r="H2" s="17"/>
    </row>
    <row r="3" ht="22.5" customHeight="1">
      <c r="A3" s="12" t="s">
        <v>28</v>
      </c>
      <c r="B3" s="18" t="s">
        <v>29</v>
      </c>
      <c r="C3" s="19"/>
      <c r="D3" s="20"/>
      <c r="E3" s="19"/>
      <c r="F3" s="20"/>
      <c r="G3" s="20" t="s">
        <v>30</v>
      </c>
      <c r="H3" s="21">
        <f t="shared" ref="H3:H5" si="1">IF(C3="X",1)+IF(D3="X",2)+IF(E3="X",3)+IF(F3="X",4)+IF(G3="X",5)</f>
        <v>5</v>
      </c>
    </row>
    <row r="4" ht="22.5" customHeight="1">
      <c r="A4" s="22" t="s">
        <v>31</v>
      </c>
      <c r="B4" s="18" t="s">
        <v>32</v>
      </c>
      <c r="C4" s="19"/>
      <c r="D4" s="19"/>
      <c r="E4" s="19"/>
      <c r="F4" s="19"/>
      <c r="G4" s="20" t="s">
        <v>30</v>
      </c>
      <c r="H4" s="21">
        <f t="shared" si="1"/>
        <v>5</v>
      </c>
    </row>
    <row r="5" ht="22.5" customHeight="1">
      <c r="A5" s="12" t="s">
        <v>33</v>
      </c>
      <c r="B5" s="23" t="s">
        <v>34</v>
      </c>
      <c r="C5" s="19"/>
      <c r="D5" s="19"/>
      <c r="E5" s="19"/>
      <c r="F5" s="19"/>
      <c r="G5" s="20" t="s">
        <v>30</v>
      </c>
      <c r="H5" s="21">
        <f t="shared" si="1"/>
        <v>5</v>
      </c>
    </row>
    <row r="6" ht="22.5" customHeight="1">
      <c r="A6" s="24"/>
      <c r="B6" s="12" t="s">
        <v>35</v>
      </c>
      <c r="C6" s="19"/>
      <c r="D6" s="19"/>
      <c r="E6" s="19"/>
      <c r="F6" s="19"/>
      <c r="G6" s="19"/>
      <c r="H6" s="21"/>
    </row>
    <row r="7" ht="22.5" customHeight="1">
      <c r="A7" s="12" t="s">
        <v>36</v>
      </c>
      <c r="B7" s="23" t="s">
        <v>37</v>
      </c>
      <c r="C7" s="20"/>
      <c r="D7" s="19"/>
      <c r="E7" s="19"/>
      <c r="F7" s="19"/>
      <c r="G7" s="20" t="s">
        <v>30</v>
      </c>
      <c r="H7" s="21">
        <f t="shared" ref="H7:H9" si="2">IF(C7="X",1)+IF(D7="X",2)+IF(E7="X",3)+IF(F7="X",4)+IF(G7="X",5)</f>
        <v>5</v>
      </c>
    </row>
    <row r="8" ht="22.5" customHeight="1">
      <c r="A8" s="22" t="s">
        <v>38</v>
      </c>
      <c r="B8" s="23" t="s">
        <v>39</v>
      </c>
      <c r="C8" s="19"/>
      <c r="D8" s="20"/>
      <c r="E8" s="19"/>
      <c r="F8" s="20"/>
      <c r="G8" s="20" t="s">
        <v>30</v>
      </c>
      <c r="H8" s="21">
        <f t="shared" si="2"/>
        <v>5</v>
      </c>
    </row>
    <row r="9" ht="22.5" customHeight="1">
      <c r="A9" s="12" t="s">
        <v>40</v>
      </c>
      <c r="B9" s="23" t="s">
        <v>41</v>
      </c>
      <c r="C9" s="19"/>
      <c r="D9" s="19"/>
      <c r="E9" s="20"/>
      <c r="F9" s="19"/>
      <c r="G9" s="20" t="s">
        <v>30</v>
      </c>
      <c r="H9" s="21">
        <f t="shared" si="2"/>
        <v>5</v>
      </c>
    </row>
    <row r="10" ht="22.5" customHeight="1">
      <c r="A10" s="24"/>
      <c r="B10" s="12" t="s">
        <v>42</v>
      </c>
      <c r="C10" s="19"/>
      <c r="D10" s="19"/>
      <c r="E10" s="19"/>
      <c r="F10" s="19"/>
      <c r="G10" s="19"/>
      <c r="H10" s="21"/>
    </row>
    <row r="11" ht="22.5" customHeight="1">
      <c r="A11" s="12" t="s">
        <v>43</v>
      </c>
      <c r="B11" s="23" t="s">
        <v>44</v>
      </c>
      <c r="C11" s="19"/>
      <c r="D11" s="20"/>
      <c r="E11" s="20"/>
      <c r="F11" s="19"/>
      <c r="G11" s="20" t="s">
        <v>30</v>
      </c>
      <c r="H11" s="21">
        <f t="shared" ref="H11:H12" si="3">IF(C11="X",1)+IF(D11="X",2)+IF(E11="X",3)+IF(F11="X",4)+IF(G11="X",5)</f>
        <v>5</v>
      </c>
    </row>
    <row r="12" ht="22.5" customHeight="1">
      <c r="A12" s="22" t="s">
        <v>45</v>
      </c>
      <c r="B12" s="23" t="s">
        <v>46</v>
      </c>
      <c r="C12" s="19"/>
      <c r="D12" s="20"/>
      <c r="E12" s="19"/>
      <c r="F12" s="20"/>
      <c r="G12" s="20" t="s">
        <v>30</v>
      </c>
      <c r="H12" s="21">
        <f t="shared" si="3"/>
        <v>5</v>
      </c>
    </row>
    <row r="13" ht="22.5" customHeight="1">
      <c r="A13" s="24"/>
      <c r="B13" s="12" t="s">
        <v>47</v>
      </c>
      <c r="C13" s="19"/>
      <c r="D13" s="19"/>
      <c r="E13" s="19"/>
      <c r="F13" s="19"/>
      <c r="G13" s="19"/>
      <c r="H13" s="21"/>
    </row>
    <row r="14" ht="22.5" customHeight="1">
      <c r="A14" s="12" t="s">
        <v>48</v>
      </c>
      <c r="B14" s="23" t="s">
        <v>49</v>
      </c>
      <c r="C14" s="20" t="s">
        <v>30</v>
      </c>
      <c r="D14" s="19"/>
      <c r="E14" s="19"/>
      <c r="F14" s="19"/>
      <c r="G14" s="19"/>
      <c r="H14" s="21">
        <f t="shared" ref="H14:H16" si="4">IF(C14="X",1)+IF(D14="X",2)+IF(E14="X",3)+IF(F14="X",4)+IF(G14="X",5)</f>
        <v>1</v>
      </c>
    </row>
    <row r="15" ht="22.5" customHeight="1">
      <c r="A15" s="12" t="s">
        <v>50</v>
      </c>
      <c r="B15" s="23" t="s">
        <v>51</v>
      </c>
      <c r="C15" s="20" t="s">
        <v>30</v>
      </c>
      <c r="D15" s="19"/>
      <c r="E15" s="19"/>
      <c r="F15" s="19"/>
      <c r="G15" s="20"/>
      <c r="H15" s="21">
        <f t="shared" si="4"/>
        <v>1</v>
      </c>
    </row>
    <row r="16" ht="22.5" customHeight="1">
      <c r="A16" s="22" t="s">
        <v>52</v>
      </c>
      <c r="B16" s="23" t="s">
        <v>53</v>
      </c>
      <c r="C16" s="20" t="s">
        <v>30</v>
      </c>
      <c r="D16" s="19"/>
      <c r="E16" s="19"/>
      <c r="F16" s="20"/>
      <c r="G16" s="20"/>
      <c r="H16" s="21">
        <f t="shared" si="4"/>
        <v>1</v>
      </c>
    </row>
    <row r="17" ht="22.5" customHeight="1">
      <c r="A17" s="22" t="s">
        <v>54</v>
      </c>
      <c r="B17" s="14" t="s">
        <v>55</v>
      </c>
      <c r="C17" s="19"/>
      <c r="D17" s="19"/>
      <c r="E17" s="19"/>
      <c r="F17" s="19"/>
      <c r="G17" s="19"/>
      <c r="H17" s="21"/>
    </row>
    <row r="18" ht="22.5" customHeight="1">
      <c r="A18" s="12" t="s">
        <v>56</v>
      </c>
      <c r="B18" s="18" t="s">
        <v>57</v>
      </c>
      <c r="C18" s="19"/>
      <c r="D18" s="20"/>
      <c r="E18" s="20"/>
      <c r="F18" s="19"/>
      <c r="G18" s="20" t="s">
        <v>30</v>
      </c>
      <c r="H18" s="21">
        <f t="shared" ref="H18:H20" si="5">IF(C18="X",1)+IF(D18="X",2)+IF(E18="X",3)+IF(F18="X",4)+IF(G18="X",5)</f>
        <v>5</v>
      </c>
    </row>
    <row r="19" ht="22.5" customHeight="1">
      <c r="A19" s="22" t="s">
        <v>58</v>
      </c>
      <c r="B19" s="18" t="s">
        <v>59</v>
      </c>
      <c r="C19" s="19"/>
      <c r="D19" s="20"/>
      <c r="E19" s="19"/>
      <c r="F19" s="19"/>
      <c r="G19" s="20" t="s">
        <v>30</v>
      </c>
      <c r="H19" s="21">
        <f t="shared" si="5"/>
        <v>5</v>
      </c>
    </row>
    <row r="20" ht="22.5" customHeight="1">
      <c r="A20" s="12" t="s">
        <v>60</v>
      </c>
      <c r="B20" s="23" t="s">
        <v>61</v>
      </c>
      <c r="C20" s="19"/>
      <c r="D20" s="20"/>
      <c r="E20" s="19"/>
      <c r="F20" s="20"/>
      <c r="G20" s="20" t="s">
        <v>30</v>
      </c>
      <c r="H20" s="21">
        <f t="shared" si="5"/>
        <v>5</v>
      </c>
    </row>
    <row r="21" ht="22.5" customHeight="1">
      <c r="A21" s="24"/>
      <c r="B21" s="12" t="s">
        <v>35</v>
      </c>
      <c r="C21" s="19"/>
      <c r="D21" s="19"/>
      <c r="E21" s="19"/>
      <c r="F21" s="19"/>
      <c r="G21" s="19"/>
      <c r="H21" s="21"/>
    </row>
    <row r="22" ht="22.5" customHeight="1">
      <c r="A22" s="12" t="s">
        <v>62</v>
      </c>
      <c r="B22" s="23" t="s">
        <v>63</v>
      </c>
      <c r="C22" s="19"/>
      <c r="D22" s="19"/>
      <c r="E22" s="19"/>
      <c r="F22" s="19"/>
      <c r="G22" s="20" t="s">
        <v>30</v>
      </c>
      <c r="H22" s="21">
        <f t="shared" ref="H22:H24" si="6">IF(C22="X",1)+IF(D22="X",2)+IF(E22="X",3)+IF(F22="X",4)+IF(G22="X",5)</f>
        <v>5</v>
      </c>
    </row>
    <row r="23" ht="22.5" customHeight="1">
      <c r="A23" s="22" t="s">
        <v>64</v>
      </c>
      <c r="B23" s="23" t="s">
        <v>65</v>
      </c>
      <c r="C23" s="19"/>
      <c r="D23" s="20"/>
      <c r="E23" s="19"/>
      <c r="F23" s="19"/>
      <c r="G23" s="20" t="s">
        <v>30</v>
      </c>
      <c r="H23" s="21">
        <f t="shared" si="6"/>
        <v>5</v>
      </c>
    </row>
    <row r="24" ht="22.5" customHeight="1">
      <c r="A24" s="12" t="s">
        <v>66</v>
      </c>
      <c r="B24" s="23" t="s">
        <v>67</v>
      </c>
      <c r="C24" s="19"/>
      <c r="D24" s="19"/>
      <c r="E24" s="19"/>
      <c r="F24" s="19"/>
      <c r="G24" s="20" t="s">
        <v>30</v>
      </c>
      <c r="H24" s="21">
        <f t="shared" si="6"/>
        <v>5</v>
      </c>
    </row>
    <row r="25" ht="22.5" customHeight="1">
      <c r="A25" s="24"/>
      <c r="B25" s="12" t="s">
        <v>42</v>
      </c>
      <c r="C25" s="19"/>
      <c r="D25" s="19"/>
      <c r="E25" s="19"/>
      <c r="F25" s="19"/>
      <c r="G25" s="19"/>
      <c r="H25" s="21"/>
    </row>
    <row r="26" ht="22.5" customHeight="1">
      <c r="A26" s="12" t="s">
        <v>68</v>
      </c>
      <c r="B26" s="23" t="s">
        <v>69</v>
      </c>
      <c r="C26" s="19"/>
      <c r="D26" s="19"/>
      <c r="E26" s="19"/>
      <c r="F26" s="19"/>
      <c r="G26" s="20" t="s">
        <v>30</v>
      </c>
      <c r="H26" s="21">
        <f t="shared" ref="H26:H27" si="7">IF(C26="X",1)+IF(D26="X",2)+IF(E26="X",3)+IF(F26="X",4)+IF(G26="X",5)</f>
        <v>5</v>
      </c>
    </row>
    <row r="27" ht="22.5" customHeight="1">
      <c r="A27" s="22" t="s">
        <v>70</v>
      </c>
      <c r="B27" s="23" t="s">
        <v>71</v>
      </c>
      <c r="C27" s="19"/>
      <c r="D27" s="20"/>
      <c r="E27" s="19"/>
      <c r="F27" s="19"/>
      <c r="G27" s="20" t="s">
        <v>30</v>
      </c>
      <c r="H27" s="21">
        <f t="shared" si="7"/>
        <v>5</v>
      </c>
    </row>
    <row r="28" ht="22.5" customHeight="1">
      <c r="A28" s="24"/>
      <c r="B28" s="12" t="s">
        <v>47</v>
      </c>
      <c r="C28" s="19"/>
      <c r="D28" s="19"/>
      <c r="E28" s="19"/>
      <c r="F28" s="19"/>
      <c r="G28" s="19"/>
      <c r="H28" s="21"/>
    </row>
    <row r="29" ht="22.5" customHeight="1">
      <c r="A29" s="12" t="s">
        <v>72</v>
      </c>
      <c r="B29" s="23" t="s">
        <v>73</v>
      </c>
      <c r="C29" s="20"/>
      <c r="D29" s="19"/>
      <c r="E29" s="19"/>
      <c r="F29" s="19"/>
      <c r="G29" s="20" t="s">
        <v>30</v>
      </c>
      <c r="H29" s="21">
        <f t="shared" ref="H29:H31" si="8">IF(C29="X",1)+IF(D29="X",2)+IF(E29="X",3)+IF(F29="X",4)+IF(G29="X",5)</f>
        <v>5</v>
      </c>
    </row>
    <row r="30" ht="22.5" customHeight="1">
      <c r="A30" s="12" t="s">
        <v>74</v>
      </c>
      <c r="B30" s="23" t="s">
        <v>75</v>
      </c>
      <c r="C30" s="19"/>
      <c r="D30" s="20"/>
      <c r="E30" s="19"/>
      <c r="F30" s="19"/>
      <c r="G30" s="20" t="s">
        <v>30</v>
      </c>
      <c r="H30" s="21">
        <f t="shared" si="8"/>
        <v>5</v>
      </c>
    </row>
    <row r="31" ht="22.5" customHeight="1">
      <c r="A31" s="22" t="s">
        <v>76</v>
      </c>
      <c r="B31" s="23" t="s">
        <v>77</v>
      </c>
      <c r="C31" s="19"/>
      <c r="D31" s="20"/>
      <c r="E31" s="19"/>
      <c r="F31" s="19"/>
      <c r="G31" s="20" t="s">
        <v>30</v>
      </c>
      <c r="H31" s="21">
        <f t="shared" si="8"/>
        <v>5</v>
      </c>
    </row>
    <row r="32" ht="22.5" customHeight="1">
      <c r="A32" s="22" t="s">
        <v>78</v>
      </c>
      <c r="B32" s="14" t="s">
        <v>79</v>
      </c>
      <c r="C32" s="19"/>
      <c r="D32" s="19"/>
      <c r="E32" s="19"/>
      <c r="F32" s="19"/>
      <c r="G32" s="19"/>
      <c r="H32" s="21"/>
    </row>
    <row r="33" ht="22.5" customHeight="1">
      <c r="A33" s="12" t="s">
        <v>80</v>
      </c>
      <c r="B33" s="18" t="s">
        <v>81</v>
      </c>
      <c r="C33" s="20"/>
      <c r="D33" s="19"/>
      <c r="E33" s="19"/>
      <c r="F33" s="19"/>
      <c r="G33" s="20" t="s">
        <v>30</v>
      </c>
      <c r="H33" s="21">
        <f t="shared" ref="H33:H35" si="9">IF(C33="X",1)+IF(D33="X",2)+IF(E33="X",3)+IF(F33="X",4)+IF(G33="X",5)</f>
        <v>5</v>
      </c>
    </row>
    <row r="34" ht="22.5" customHeight="1">
      <c r="A34" s="22" t="s">
        <v>82</v>
      </c>
      <c r="B34" s="18" t="s">
        <v>83</v>
      </c>
      <c r="C34" s="20"/>
      <c r="D34" s="19"/>
      <c r="E34" s="19"/>
      <c r="F34" s="19"/>
      <c r="G34" s="20" t="s">
        <v>30</v>
      </c>
      <c r="H34" s="21">
        <f t="shared" si="9"/>
        <v>5</v>
      </c>
    </row>
    <row r="35" ht="22.5" customHeight="1">
      <c r="A35" s="12" t="s">
        <v>84</v>
      </c>
      <c r="B35" s="23" t="s">
        <v>85</v>
      </c>
      <c r="C35" s="20"/>
      <c r="D35" s="19"/>
      <c r="E35" s="19"/>
      <c r="F35" s="20" t="s">
        <v>30</v>
      </c>
      <c r="G35" s="19"/>
      <c r="H35" s="21">
        <f t="shared" si="9"/>
        <v>4</v>
      </c>
    </row>
    <row r="36" ht="22.5" customHeight="1">
      <c r="A36" s="24"/>
      <c r="B36" s="12" t="s">
        <v>35</v>
      </c>
      <c r="C36" s="19"/>
      <c r="D36" s="19"/>
      <c r="E36" s="19"/>
      <c r="F36" s="19"/>
      <c r="G36" s="19"/>
      <c r="H36" s="21"/>
    </row>
    <row r="37" ht="22.5" customHeight="1">
      <c r="A37" s="12" t="s">
        <v>86</v>
      </c>
      <c r="B37" s="23" t="s">
        <v>87</v>
      </c>
      <c r="C37" s="20"/>
      <c r="D37" s="19"/>
      <c r="E37" s="19"/>
      <c r="F37" s="19"/>
      <c r="G37" s="20" t="s">
        <v>30</v>
      </c>
      <c r="H37" s="21">
        <f t="shared" ref="H37:H39" si="10">IF(C37="X",1)+IF(D37="X",2)+IF(E37="X",3)+IF(F37="X",4)+IF(G37="X",5)</f>
        <v>5</v>
      </c>
    </row>
    <row r="38" ht="22.5" customHeight="1">
      <c r="A38" s="22" t="s">
        <v>88</v>
      </c>
      <c r="B38" s="23" t="s">
        <v>89</v>
      </c>
      <c r="C38" s="19"/>
      <c r="D38" s="20"/>
      <c r="E38" s="19"/>
      <c r="F38" s="20" t="s">
        <v>30</v>
      </c>
      <c r="G38" s="19"/>
      <c r="H38" s="21">
        <f t="shared" si="10"/>
        <v>4</v>
      </c>
    </row>
    <row r="39" ht="22.5" customHeight="1">
      <c r="A39" s="12" t="s">
        <v>90</v>
      </c>
      <c r="B39" s="23" t="s">
        <v>91</v>
      </c>
      <c r="C39" s="19"/>
      <c r="D39" s="19"/>
      <c r="E39" s="19"/>
      <c r="F39" s="19"/>
      <c r="G39" s="20" t="s">
        <v>30</v>
      </c>
      <c r="H39" s="21">
        <f t="shared" si="10"/>
        <v>5</v>
      </c>
    </row>
    <row r="40" ht="22.5" customHeight="1">
      <c r="A40" s="24"/>
      <c r="B40" s="12" t="s">
        <v>42</v>
      </c>
      <c r="C40" s="19"/>
      <c r="D40" s="19"/>
      <c r="E40" s="19"/>
      <c r="F40" s="19"/>
      <c r="G40" s="19"/>
      <c r="H40" s="21"/>
    </row>
    <row r="41" ht="22.5" customHeight="1">
      <c r="A41" s="12" t="s">
        <v>92</v>
      </c>
      <c r="B41" s="23" t="s">
        <v>93</v>
      </c>
      <c r="C41" s="19"/>
      <c r="D41" s="19"/>
      <c r="E41" s="19"/>
      <c r="F41" s="19"/>
      <c r="G41" s="20" t="s">
        <v>30</v>
      </c>
      <c r="H41" s="21">
        <f t="shared" ref="H41:H42" si="11">IF(C41="X",1)+IF(D41="X",2)+IF(E41="X",3)+IF(F41="X",4)+IF(G41="X",5)</f>
        <v>5</v>
      </c>
    </row>
    <row r="42" ht="22.5" customHeight="1">
      <c r="A42" s="22" t="s">
        <v>94</v>
      </c>
      <c r="B42" s="23" t="s">
        <v>95</v>
      </c>
      <c r="C42" s="19"/>
      <c r="D42" s="19"/>
      <c r="E42" s="19"/>
      <c r="F42" s="20" t="s">
        <v>30</v>
      </c>
      <c r="G42" s="19"/>
      <c r="H42" s="21">
        <f t="shared" si="11"/>
        <v>4</v>
      </c>
    </row>
    <row r="43" ht="22.5" customHeight="1">
      <c r="A43" s="24"/>
      <c r="B43" s="12" t="s">
        <v>47</v>
      </c>
      <c r="C43" s="19"/>
      <c r="D43" s="19"/>
      <c r="E43" s="19"/>
      <c r="F43" s="19"/>
      <c r="G43" s="19"/>
      <c r="H43" s="21"/>
    </row>
    <row r="44" ht="22.5" customHeight="1">
      <c r="A44" s="12" t="s">
        <v>96</v>
      </c>
      <c r="B44" s="23" t="s">
        <v>97</v>
      </c>
      <c r="C44" s="19"/>
      <c r="D44" s="20"/>
      <c r="E44" s="20" t="s">
        <v>30</v>
      </c>
      <c r="F44" s="19"/>
      <c r="G44" s="19"/>
      <c r="H44" s="21">
        <f t="shared" ref="H44:H46" si="12">IF(C44="X",1)+IF(D44="X",2)+IF(E44="X",3)+IF(F44="X",4)+IF(G44="X",5)</f>
        <v>3</v>
      </c>
    </row>
    <row r="45" ht="22.5" customHeight="1">
      <c r="A45" s="12" t="s">
        <v>98</v>
      </c>
      <c r="B45" s="23" t="s">
        <v>99</v>
      </c>
      <c r="C45" s="20"/>
      <c r="D45" s="19"/>
      <c r="E45" s="19"/>
      <c r="F45" s="19"/>
      <c r="G45" s="20" t="s">
        <v>30</v>
      </c>
      <c r="H45" s="21">
        <f t="shared" si="12"/>
        <v>5</v>
      </c>
    </row>
    <row r="46" ht="22.5" customHeight="1">
      <c r="A46" s="22" t="s">
        <v>100</v>
      </c>
      <c r="B46" s="23" t="s">
        <v>101</v>
      </c>
      <c r="C46" s="20"/>
      <c r="D46" s="19"/>
      <c r="E46" s="19"/>
      <c r="F46" s="20" t="s">
        <v>30</v>
      </c>
      <c r="G46" s="19"/>
      <c r="H46" s="21">
        <f t="shared" si="12"/>
        <v>4</v>
      </c>
    </row>
  </sheetData>
  <dataValidations>
    <dataValidation type="custom" allowBlank="1" showDropDown="1" sqref="H2:H46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58.13"/>
    <col customWidth="1" min="4" max="4" width="19.63"/>
    <col customWidth="1" min="6" max="6" width="21.63"/>
    <col customWidth="1" min="7" max="7" width="17.13"/>
    <col customWidth="1" min="8" max="8" width="15.75"/>
  </cols>
  <sheetData>
    <row r="1" ht="22.5" customHeight="1">
      <c r="A1" s="6" t="s">
        <v>15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11" t="s">
        <v>25</v>
      </c>
    </row>
    <row r="2" ht="22.5" customHeight="1">
      <c r="A2" s="12" t="s">
        <v>26</v>
      </c>
      <c r="B2" s="15" t="s">
        <v>27</v>
      </c>
      <c r="C2" s="16"/>
      <c r="D2" s="16"/>
      <c r="E2" s="16"/>
      <c r="F2" s="16"/>
      <c r="G2" s="16"/>
      <c r="H2" s="17"/>
    </row>
    <row r="3" ht="22.5" customHeight="1">
      <c r="A3" s="12" t="s">
        <v>28</v>
      </c>
      <c r="B3" s="18" t="s">
        <v>29</v>
      </c>
      <c r="C3" s="19"/>
      <c r="D3" s="20" t="s">
        <v>30</v>
      </c>
      <c r="E3" s="19"/>
      <c r="F3" s="20"/>
      <c r="G3" s="19"/>
      <c r="H3" s="21">
        <f t="shared" ref="H3:H5" si="1">IF(C3="X",1)+IF(D3="X",2)+IF(E3="X",3)+IF(F3="X",4)+IF(G3="X",5)</f>
        <v>2</v>
      </c>
    </row>
    <row r="4" ht="22.5" customHeight="1">
      <c r="A4" s="22" t="s">
        <v>31</v>
      </c>
      <c r="B4" s="18" t="s">
        <v>32</v>
      </c>
      <c r="C4" s="19"/>
      <c r="D4" s="19"/>
      <c r="E4" s="19" t="s">
        <v>30</v>
      </c>
      <c r="F4" s="19"/>
      <c r="G4" s="19"/>
      <c r="H4" s="21">
        <f t="shared" si="1"/>
        <v>3</v>
      </c>
    </row>
    <row r="5" ht="22.5" customHeight="1">
      <c r="A5" s="12" t="s">
        <v>33</v>
      </c>
      <c r="B5" s="23" t="s">
        <v>34</v>
      </c>
      <c r="C5" s="19"/>
      <c r="D5" s="19" t="s">
        <v>30</v>
      </c>
      <c r="E5" s="19"/>
      <c r="F5" s="19"/>
      <c r="G5" s="19"/>
      <c r="H5" s="21">
        <f t="shared" si="1"/>
        <v>2</v>
      </c>
    </row>
    <row r="6" ht="22.5" customHeight="1">
      <c r="A6" s="24"/>
      <c r="B6" s="12" t="s">
        <v>35</v>
      </c>
      <c r="C6" s="19"/>
      <c r="D6" s="19"/>
      <c r="E6" s="19"/>
      <c r="F6" s="19"/>
      <c r="G6" s="19"/>
      <c r="H6" s="21"/>
    </row>
    <row r="7" ht="22.5" customHeight="1">
      <c r="A7" s="12" t="s">
        <v>36</v>
      </c>
      <c r="B7" s="23" t="s">
        <v>37</v>
      </c>
      <c r="C7" s="20" t="s">
        <v>30</v>
      </c>
      <c r="D7" s="19"/>
      <c r="E7" s="19"/>
      <c r="F7" s="19"/>
      <c r="G7" s="19"/>
      <c r="H7" s="21">
        <f t="shared" ref="H7:H9" si="2">IF(C7="X",1)+IF(D7="X",2)+IF(E7="X",3)+IF(F7="X",4)+IF(G7="X",5)</f>
        <v>1</v>
      </c>
    </row>
    <row r="8" ht="22.5" customHeight="1">
      <c r="A8" s="22" t="s">
        <v>38</v>
      </c>
      <c r="B8" s="23" t="s">
        <v>39</v>
      </c>
      <c r="C8" s="19"/>
      <c r="D8" s="20" t="s">
        <v>30</v>
      </c>
      <c r="E8" s="19"/>
      <c r="F8" s="20"/>
      <c r="G8" s="19"/>
      <c r="H8" s="21">
        <f t="shared" si="2"/>
        <v>2</v>
      </c>
    </row>
    <row r="9" ht="22.5" customHeight="1">
      <c r="A9" s="12" t="s">
        <v>40</v>
      </c>
      <c r="B9" s="23" t="s">
        <v>41</v>
      </c>
      <c r="C9" s="19"/>
      <c r="D9" s="19"/>
      <c r="E9" s="20" t="s">
        <v>30</v>
      </c>
      <c r="F9" s="19"/>
      <c r="G9" s="19"/>
      <c r="H9" s="21">
        <f t="shared" si="2"/>
        <v>3</v>
      </c>
    </row>
    <row r="10" ht="22.5" customHeight="1">
      <c r="A10" s="24"/>
      <c r="B10" s="12" t="s">
        <v>42</v>
      </c>
      <c r="C10" s="19"/>
      <c r="D10" s="19"/>
      <c r="E10" s="19"/>
      <c r="F10" s="19"/>
      <c r="G10" s="19"/>
      <c r="H10" s="21"/>
    </row>
    <row r="11" ht="22.5" customHeight="1">
      <c r="A11" s="12" t="s">
        <v>43</v>
      </c>
      <c r="B11" s="23" t="s">
        <v>44</v>
      </c>
      <c r="C11" s="19"/>
      <c r="D11" s="20" t="s">
        <v>30</v>
      </c>
      <c r="E11" s="20"/>
      <c r="F11" s="19"/>
      <c r="G11" s="19"/>
      <c r="H11" s="21">
        <f t="shared" ref="H11:H12" si="3">IF(C11="X",1)+IF(D11="X",2)+IF(E11="X",3)+IF(F11="X",4)+IF(G11="X",5)</f>
        <v>2</v>
      </c>
    </row>
    <row r="12" ht="22.5" customHeight="1">
      <c r="A12" s="22" t="s">
        <v>45</v>
      </c>
      <c r="B12" s="23" t="s">
        <v>46</v>
      </c>
      <c r="C12" s="19"/>
      <c r="D12" s="20" t="s">
        <v>30</v>
      </c>
      <c r="E12" s="19"/>
      <c r="F12" s="20"/>
      <c r="G12" s="19"/>
      <c r="H12" s="21">
        <f t="shared" si="3"/>
        <v>2</v>
      </c>
    </row>
    <row r="13" ht="22.5" customHeight="1">
      <c r="A13" s="24"/>
      <c r="B13" s="12" t="s">
        <v>47</v>
      </c>
      <c r="C13" s="19"/>
      <c r="D13" s="19"/>
      <c r="E13" s="19"/>
      <c r="F13" s="19"/>
      <c r="G13" s="19"/>
      <c r="H13" s="21"/>
    </row>
    <row r="14" ht="22.5" customHeight="1">
      <c r="A14" s="12" t="s">
        <v>48</v>
      </c>
      <c r="B14" s="23" t="s">
        <v>49</v>
      </c>
      <c r="C14" s="19"/>
      <c r="D14" s="19"/>
      <c r="E14" s="19"/>
      <c r="F14" s="19"/>
      <c r="G14" s="19" t="s">
        <v>30</v>
      </c>
      <c r="H14" s="21">
        <f t="shared" ref="H14:H16" si="4">IF(C14="X",1)+IF(D14="X",2)+IF(E14="X",3)+IF(F14="X",4)+IF(G14="X",5)</f>
        <v>5</v>
      </c>
    </row>
    <row r="15" ht="22.5" customHeight="1">
      <c r="A15" s="12" t="s">
        <v>50</v>
      </c>
      <c r="B15" s="23" t="s">
        <v>51</v>
      </c>
      <c r="C15" s="19"/>
      <c r="D15" s="19"/>
      <c r="E15" s="19"/>
      <c r="F15" s="19"/>
      <c r="G15" s="20" t="s">
        <v>30</v>
      </c>
      <c r="H15" s="21">
        <f t="shared" si="4"/>
        <v>5</v>
      </c>
    </row>
    <row r="16" ht="22.5" customHeight="1">
      <c r="A16" s="22" t="s">
        <v>52</v>
      </c>
      <c r="B16" s="23" t="s">
        <v>53</v>
      </c>
      <c r="C16" s="19"/>
      <c r="D16" s="19"/>
      <c r="E16" s="19"/>
      <c r="F16" s="20"/>
      <c r="G16" s="20" t="s">
        <v>30</v>
      </c>
      <c r="H16" s="21">
        <f t="shared" si="4"/>
        <v>5</v>
      </c>
    </row>
    <row r="17" ht="22.5" customHeight="1">
      <c r="A17" s="22" t="s">
        <v>54</v>
      </c>
      <c r="B17" s="15" t="s">
        <v>55</v>
      </c>
      <c r="C17" s="19"/>
      <c r="D17" s="19"/>
      <c r="E17" s="19"/>
      <c r="F17" s="19"/>
      <c r="G17" s="19"/>
      <c r="H17" s="21"/>
    </row>
    <row r="18" ht="22.5" customHeight="1">
      <c r="A18" s="12" t="s">
        <v>56</v>
      </c>
      <c r="B18" s="18" t="s">
        <v>57</v>
      </c>
      <c r="C18" s="19"/>
      <c r="D18" s="20"/>
      <c r="E18" s="20" t="s">
        <v>30</v>
      </c>
      <c r="F18" s="19"/>
      <c r="G18" s="19"/>
      <c r="H18" s="21">
        <f t="shared" ref="H18:H20" si="5">IF(C18="X",1)+IF(D18="X",2)+IF(E18="X",3)+IF(F18="X",4)+IF(G18="X",5)</f>
        <v>3</v>
      </c>
    </row>
    <row r="19" ht="22.5" customHeight="1">
      <c r="A19" s="22" t="s">
        <v>58</v>
      </c>
      <c r="B19" s="18" t="s">
        <v>59</v>
      </c>
      <c r="C19" s="19"/>
      <c r="D19" s="20" t="s">
        <v>30</v>
      </c>
      <c r="E19" s="19"/>
      <c r="F19" s="19"/>
      <c r="G19" s="19"/>
      <c r="H19" s="21">
        <f t="shared" si="5"/>
        <v>2</v>
      </c>
    </row>
    <row r="20" ht="22.5" customHeight="1">
      <c r="A20" s="12" t="s">
        <v>60</v>
      </c>
      <c r="B20" s="23" t="s">
        <v>61</v>
      </c>
      <c r="C20" s="19"/>
      <c r="D20" s="20" t="s">
        <v>30</v>
      </c>
      <c r="E20" s="19"/>
      <c r="F20" s="20"/>
      <c r="G20" s="19"/>
      <c r="H20" s="21">
        <f t="shared" si="5"/>
        <v>2</v>
      </c>
    </row>
    <row r="21" ht="22.5" customHeight="1">
      <c r="A21" s="24"/>
      <c r="B21" s="12" t="s">
        <v>35</v>
      </c>
      <c r="C21" s="19"/>
      <c r="D21" s="19"/>
      <c r="E21" s="19"/>
      <c r="F21" s="19"/>
      <c r="G21" s="19"/>
      <c r="H21" s="21"/>
    </row>
    <row r="22" ht="22.5" customHeight="1">
      <c r="A22" s="12" t="s">
        <v>62</v>
      </c>
      <c r="B22" s="23" t="s">
        <v>63</v>
      </c>
      <c r="C22" s="19"/>
      <c r="D22" s="19" t="s">
        <v>30</v>
      </c>
      <c r="E22" s="19"/>
      <c r="F22" s="19"/>
      <c r="G22" s="19"/>
      <c r="H22" s="21">
        <f t="shared" ref="H22:H24" si="6">IF(C22="X",1)+IF(D22="X",2)+IF(E22="X",3)+IF(F22="X",4)+IF(G22="X",5)</f>
        <v>2</v>
      </c>
    </row>
    <row r="23" ht="22.5" customHeight="1">
      <c r="A23" s="22" t="s">
        <v>64</v>
      </c>
      <c r="B23" s="23" t="s">
        <v>65</v>
      </c>
      <c r="C23" s="19"/>
      <c r="D23" s="20" t="s">
        <v>30</v>
      </c>
      <c r="E23" s="19"/>
      <c r="F23" s="19"/>
      <c r="G23" s="19"/>
      <c r="H23" s="21">
        <f t="shared" si="6"/>
        <v>2</v>
      </c>
    </row>
    <row r="24" ht="22.5" customHeight="1">
      <c r="A24" s="12" t="s">
        <v>66</v>
      </c>
      <c r="B24" s="23" t="s">
        <v>67</v>
      </c>
      <c r="C24" s="19"/>
      <c r="D24" s="19" t="s">
        <v>30</v>
      </c>
      <c r="E24" s="19"/>
      <c r="F24" s="19"/>
      <c r="G24" s="19"/>
      <c r="H24" s="21">
        <f t="shared" si="6"/>
        <v>2</v>
      </c>
    </row>
    <row r="25" ht="22.5" customHeight="1">
      <c r="A25" s="24"/>
      <c r="B25" s="12" t="s">
        <v>42</v>
      </c>
      <c r="C25" s="19"/>
      <c r="D25" s="19"/>
      <c r="E25" s="19"/>
      <c r="F25" s="19"/>
      <c r="G25" s="19"/>
      <c r="H25" s="21"/>
    </row>
    <row r="26" ht="22.5" customHeight="1">
      <c r="A26" s="12" t="s">
        <v>68</v>
      </c>
      <c r="B26" s="23" t="s">
        <v>69</v>
      </c>
      <c r="C26" s="19"/>
      <c r="D26" s="19"/>
      <c r="E26" s="19"/>
      <c r="F26" s="19" t="s">
        <v>30</v>
      </c>
      <c r="G26" s="19"/>
      <c r="H26" s="21">
        <f t="shared" ref="H26:H27" si="7">IF(C26="X",1)+IF(D26="X",2)+IF(E26="X",3)+IF(F26="X",4)+IF(G26="X",5)</f>
        <v>4</v>
      </c>
    </row>
    <row r="27" ht="22.5" customHeight="1">
      <c r="A27" s="22" t="s">
        <v>70</v>
      </c>
      <c r="B27" s="23" t="s">
        <v>71</v>
      </c>
      <c r="C27" s="19"/>
      <c r="D27" s="20" t="s">
        <v>30</v>
      </c>
      <c r="E27" s="19"/>
      <c r="F27" s="19"/>
      <c r="G27" s="19"/>
      <c r="H27" s="21">
        <f t="shared" si="7"/>
        <v>2</v>
      </c>
    </row>
    <row r="28" ht="22.5" customHeight="1">
      <c r="A28" s="24"/>
      <c r="B28" s="12" t="s">
        <v>47</v>
      </c>
      <c r="C28" s="19"/>
      <c r="D28" s="19"/>
      <c r="E28" s="19"/>
      <c r="F28" s="19"/>
      <c r="G28" s="19"/>
      <c r="H28" s="21"/>
    </row>
    <row r="29" ht="22.5" customHeight="1">
      <c r="A29" s="12" t="s">
        <v>72</v>
      </c>
      <c r="B29" s="23" t="s">
        <v>73</v>
      </c>
      <c r="C29" s="20" t="s">
        <v>30</v>
      </c>
      <c r="D29" s="19"/>
      <c r="E29" s="19"/>
      <c r="F29" s="19"/>
      <c r="G29" s="19"/>
      <c r="H29" s="21">
        <f t="shared" ref="H29:H31" si="8">IF(C29="X",1)+IF(D29="X",2)+IF(E29="X",3)+IF(F29="X",4)+IF(G29="X",5)</f>
        <v>1</v>
      </c>
    </row>
    <row r="30" ht="22.5" customHeight="1">
      <c r="A30" s="12" t="s">
        <v>74</v>
      </c>
      <c r="B30" s="23" t="s">
        <v>75</v>
      </c>
      <c r="C30" s="19"/>
      <c r="D30" s="20" t="s">
        <v>30</v>
      </c>
      <c r="E30" s="19"/>
      <c r="F30" s="19"/>
      <c r="G30" s="19"/>
      <c r="H30" s="21">
        <f t="shared" si="8"/>
        <v>2</v>
      </c>
    </row>
    <row r="31" ht="22.5" customHeight="1">
      <c r="A31" s="22" t="s">
        <v>76</v>
      </c>
      <c r="B31" s="23" t="s">
        <v>77</v>
      </c>
      <c r="C31" s="19"/>
      <c r="D31" s="20" t="s">
        <v>30</v>
      </c>
      <c r="E31" s="19"/>
      <c r="F31" s="19"/>
      <c r="G31" s="19"/>
      <c r="H31" s="21">
        <f t="shared" si="8"/>
        <v>2</v>
      </c>
    </row>
    <row r="32" ht="22.5" customHeight="1">
      <c r="A32" s="22" t="s">
        <v>78</v>
      </c>
      <c r="B32" s="15" t="s">
        <v>79</v>
      </c>
      <c r="C32" s="19"/>
      <c r="D32" s="19"/>
      <c r="E32" s="19"/>
      <c r="F32" s="19"/>
      <c r="G32" s="19"/>
      <c r="H32" s="21"/>
    </row>
    <row r="33" ht="22.5" customHeight="1">
      <c r="A33" s="12" t="s">
        <v>80</v>
      </c>
      <c r="B33" s="18" t="s">
        <v>81</v>
      </c>
      <c r="C33" s="20" t="s">
        <v>30</v>
      </c>
      <c r="D33" s="19"/>
      <c r="E33" s="19"/>
      <c r="F33" s="19"/>
      <c r="G33" s="19"/>
      <c r="H33" s="21">
        <f t="shared" ref="H33:H35" si="9">IF(C33="X",1)+IF(D33="X",2)+IF(E33="X",3)+IF(F33="X",4)+IF(G33="X",5)</f>
        <v>1</v>
      </c>
    </row>
    <row r="34" ht="22.5" customHeight="1">
      <c r="A34" s="22" t="s">
        <v>82</v>
      </c>
      <c r="B34" s="18" t="s">
        <v>83</v>
      </c>
      <c r="C34" s="20" t="s">
        <v>30</v>
      </c>
      <c r="D34" s="19"/>
      <c r="E34" s="19"/>
      <c r="F34" s="19"/>
      <c r="G34" s="19"/>
      <c r="H34" s="21">
        <f t="shared" si="9"/>
        <v>1</v>
      </c>
    </row>
    <row r="35" ht="22.5" customHeight="1">
      <c r="A35" s="12" t="s">
        <v>84</v>
      </c>
      <c r="B35" s="23" t="s">
        <v>85</v>
      </c>
      <c r="C35" s="20" t="s">
        <v>30</v>
      </c>
      <c r="D35" s="19"/>
      <c r="E35" s="19"/>
      <c r="F35" s="19"/>
      <c r="G35" s="19"/>
      <c r="H35" s="21">
        <f t="shared" si="9"/>
        <v>1</v>
      </c>
    </row>
    <row r="36" ht="22.5" customHeight="1">
      <c r="A36" s="24"/>
      <c r="B36" s="12" t="s">
        <v>35</v>
      </c>
      <c r="C36" s="19"/>
      <c r="D36" s="19"/>
      <c r="E36" s="19"/>
      <c r="F36" s="19"/>
      <c r="G36" s="19"/>
      <c r="H36" s="21"/>
    </row>
    <row r="37" ht="22.5" customHeight="1">
      <c r="A37" s="12" t="s">
        <v>86</v>
      </c>
      <c r="B37" s="23" t="s">
        <v>87</v>
      </c>
      <c r="C37" s="20" t="s">
        <v>30</v>
      </c>
      <c r="D37" s="19"/>
      <c r="E37" s="19"/>
      <c r="F37" s="19"/>
      <c r="G37" s="19"/>
      <c r="H37" s="21">
        <f t="shared" ref="H37:H39" si="10">IF(C37="X",1)+IF(D37="X",2)+IF(E37="X",3)+IF(F37="X",4)+IF(G37="X",5)</f>
        <v>1</v>
      </c>
    </row>
    <row r="38" ht="22.5" customHeight="1">
      <c r="A38" s="22" t="s">
        <v>88</v>
      </c>
      <c r="B38" s="23" t="s">
        <v>89</v>
      </c>
      <c r="C38" s="19"/>
      <c r="D38" s="20" t="s">
        <v>30</v>
      </c>
      <c r="E38" s="19"/>
      <c r="F38" s="19"/>
      <c r="G38" s="19"/>
      <c r="H38" s="21">
        <f t="shared" si="10"/>
        <v>2</v>
      </c>
    </row>
    <row r="39" ht="22.5" customHeight="1">
      <c r="A39" s="12" t="s">
        <v>90</v>
      </c>
      <c r="B39" s="23" t="s">
        <v>91</v>
      </c>
      <c r="C39" s="19"/>
      <c r="D39" s="19" t="s">
        <v>30</v>
      </c>
      <c r="E39" s="19"/>
      <c r="F39" s="19"/>
      <c r="G39" s="19"/>
      <c r="H39" s="21">
        <f t="shared" si="10"/>
        <v>2</v>
      </c>
    </row>
    <row r="40" ht="22.5" customHeight="1">
      <c r="A40" s="24"/>
      <c r="B40" s="12" t="s">
        <v>42</v>
      </c>
      <c r="C40" s="19"/>
      <c r="D40" s="19"/>
      <c r="E40" s="19"/>
      <c r="F40" s="19"/>
      <c r="G40" s="19"/>
      <c r="H40" s="21"/>
    </row>
    <row r="41" ht="22.5" customHeight="1">
      <c r="A41" s="12" t="s">
        <v>92</v>
      </c>
      <c r="B41" s="23" t="s">
        <v>93</v>
      </c>
      <c r="C41" s="19"/>
      <c r="D41" s="19" t="s">
        <v>30</v>
      </c>
      <c r="E41" s="19"/>
      <c r="F41" s="19"/>
      <c r="G41" s="19"/>
      <c r="H41" s="21">
        <f t="shared" ref="H41:H42" si="11">IF(C41="X",1)+IF(D41="X",2)+IF(E41="X",3)+IF(F41="X",4)+IF(G41="X",5)</f>
        <v>2</v>
      </c>
    </row>
    <row r="42" ht="22.5" customHeight="1">
      <c r="A42" s="22" t="s">
        <v>94</v>
      </c>
      <c r="B42" s="23" t="s">
        <v>95</v>
      </c>
      <c r="C42" s="19"/>
      <c r="D42" s="19" t="s">
        <v>30</v>
      </c>
      <c r="E42" s="19"/>
      <c r="F42" s="19"/>
      <c r="G42" s="19"/>
      <c r="H42" s="21">
        <f t="shared" si="11"/>
        <v>2</v>
      </c>
    </row>
    <row r="43" ht="22.5" customHeight="1">
      <c r="A43" s="24"/>
      <c r="B43" s="12" t="s">
        <v>47</v>
      </c>
      <c r="C43" s="19"/>
      <c r="D43" s="19"/>
      <c r="E43" s="19"/>
      <c r="F43" s="19"/>
      <c r="G43" s="19"/>
      <c r="H43" s="21"/>
    </row>
    <row r="44" ht="22.5" customHeight="1">
      <c r="A44" s="12" t="s">
        <v>96</v>
      </c>
      <c r="B44" s="23" t="s">
        <v>97</v>
      </c>
      <c r="C44" s="19"/>
      <c r="D44" s="20" t="s">
        <v>30</v>
      </c>
      <c r="E44" s="19"/>
      <c r="F44" s="19"/>
      <c r="G44" s="19"/>
      <c r="H44" s="21">
        <f t="shared" ref="H44:H46" si="12">IF(C44="X",1)+IF(D44="X",2)+IF(E44="X",3)+IF(F44="X",4)+IF(G44="X",5)</f>
        <v>2</v>
      </c>
    </row>
    <row r="45" ht="22.5" customHeight="1">
      <c r="A45" s="12" t="s">
        <v>98</v>
      </c>
      <c r="B45" s="23" t="s">
        <v>99</v>
      </c>
      <c r="C45" s="20" t="s">
        <v>30</v>
      </c>
      <c r="D45" s="19"/>
      <c r="E45" s="19"/>
      <c r="F45" s="19"/>
      <c r="G45" s="19"/>
      <c r="H45" s="21">
        <f t="shared" si="12"/>
        <v>1</v>
      </c>
    </row>
    <row r="46" ht="22.5" customHeight="1">
      <c r="A46" s="22" t="s">
        <v>100</v>
      </c>
      <c r="B46" s="23" t="s">
        <v>101</v>
      </c>
      <c r="C46" s="20" t="s">
        <v>30</v>
      </c>
      <c r="D46" s="19"/>
      <c r="E46" s="19"/>
      <c r="F46" s="19"/>
      <c r="G46" s="19"/>
      <c r="H46" s="21">
        <f t="shared" si="12"/>
        <v>1</v>
      </c>
    </row>
  </sheetData>
  <dataValidations>
    <dataValidation type="custom" allowBlank="1" showDropDown="1" sqref="H2:H46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59.13"/>
    <col customWidth="1" min="4" max="4" width="17.38"/>
    <col customWidth="1" min="6" max="6" width="23.88"/>
    <col customWidth="1" min="7" max="7" width="16.38"/>
    <col customWidth="1" min="8" max="8" width="15.75"/>
  </cols>
  <sheetData>
    <row r="1" ht="22.5" customHeight="1">
      <c r="A1" s="7" t="s">
        <v>15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3" t="s">
        <v>25</v>
      </c>
    </row>
    <row r="2" ht="22.5" customHeight="1">
      <c r="A2" s="12" t="s">
        <v>26</v>
      </c>
      <c r="B2" s="15" t="s">
        <v>27</v>
      </c>
      <c r="C2" s="16"/>
      <c r="D2" s="16"/>
      <c r="E2" s="16"/>
      <c r="F2" s="16"/>
      <c r="G2" s="16"/>
      <c r="H2" s="17"/>
    </row>
    <row r="3" ht="22.5" customHeight="1">
      <c r="A3" s="12" t="s">
        <v>28</v>
      </c>
      <c r="B3" s="18" t="s">
        <v>29</v>
      </c>
      <c r="C3" s="19"/>
      <c r="D3" s="20"/>
      <c r="E3" s="20" t="s">
        <v>30</v>
      </c>
      <c r="F3" s="20"/>
      <c r="G3" s="19"/>
      <c r="H3" s="21">
        <f t="shared" ref="H3:H5" si="1">IF(C3="X",1)+IF(D3="X",2)+IF(E3="X",3)+IF(F3="X",4)+IF(G3="X",5)</f>
        <v>3</v>
      </c>
    </row>
    <row r="4" ht="22.5" customHeight="1">
      <c r="A4" s="22" t="s">
        <v>31</v>
      </c>
      <c r="B4" s="18" t="s">
        <v>32</v>
      </c>
      <c r="C4" s="19"/>
      <c r="D4" s="19"/>
      <c r="E4" s="19"/>
      <c r="F4" s="20" t="s">
        <v>30</v>
      </c>
      <c r="G4" s="19"/>
      <c r="H4" s="21">
        <f t="shared" si="1"/>
        <v>4</v>
      </c>
    </row>
    <row r="5" ht="22.5" customHeight="1">
      <c r="A5" s="12" t="s">
        <v>33</v>
      </c>
      <c r="B5" s="23" t="s">
        <v>34</v>
      </c>
      <c r="C5" s="19"/>
      <c r="D5" s="19"/>
      <c r="E5" s="20" t="s">
        <v>30</v>
      </c>
      <c r="F5" s="19"/>
      <c r="G5" s="19"/>
      <c r="H5" s="21">
        <f t="shared" si="1"/>
        <v>3</v>
      </c>
    </row>
    <row r="6" ht="22.5" customHeight="1">
      <c r="A6" s="24"/>
      <c r="B6" s="12" t="s">
        <v>35</v>
      </c>
      <c r="C6" s="19"/>
      <c r="D6" s="19"/>
      <c r="E6" s="19"/>
      <c r="F6" s="19"/>
      <c r="G6" s="19"/>
      <c r="H6" s="21"/>
    </row>
    <row r="7" ht="22.5" customHeight="1">
      <c r="A7" s="12" t="s">
        <v>36</v>
      </c>
      <c r="B7" s="23" t="s">
        <v>37</v>
      </c>
      <c r="C7" s="20"/>
      <c r="D7" s="20" t="s">
        <v>30</v>
      </c>
      <c r="E7" s="19"/>
      <c r="F7" s="19"/>
      <c r="G7" s="19"/>
      <c r="H7" s="21">
        <f t="shared" ref="H7:H9" si="2">IF(C7="X",1)+IF(D7="X",2)+IF(E7="X",3)+IF(F7="X",4)+IF(G7="X",5)</f>
        <v>2</v>
      </c>
    </row>
    <row r="8" ht="22.5" customHeight="1">
      <c r="A8" s="22" t="s">
        <v>38</v>
      </c>
      <c r="B8" s="23" t="s">
        <v>39</v>
      </c>
      <c r="C8" s="19"/>
      <c r="D8" s="20"/>
      <c r="E8" s="19"/>
      <c r="F8" s="20" t="s">
        <v>30</v>
      </c>
      <c r="G8" s="19"/>
      <c r="H8" s="21">
        <f t="shared" si="2"/>
        <v>4</v>
      </c>
    </row>
    <row r="9" ht="22.5" customHeight="1">
      <c r="A9" s="12" t="s">
        <v>40</v>
      </c>
      <c r="B9" s="23" t="s">
        <v>41</v>
      </c>
      <c r="C9" s="19"/>
      <c r="D9" s="20" t="s">
        <v>30</v>
      </c>
      <c r="E9" s="20"/>
      <c r="F9" s="19"/>
      <c r="G9" s="19"/>
      <c r="H9" s="21">
        <f t="shared" si="2"/>
        <v>2</v>
      </c>
    </row>
    <row r="10" ht="22.5" customHeight="1">
      <c r="A10" s="24"/>
      <c r="B10" s="12" t="s">
        <v>42</v>
      </c>
      <c r="C10" s="19"/>
      <c r="D10" s="19"/>
      <c r="E10" s="19"/>
      <c r="F10" s="19"/>
      <c r="G10" s="19"/>
      <c r="H10" s="21"/>
    </row>
    <row r="11" ht="22.5" customHeight="1">
      <c r="A11" s="12" t="s">
        <v>43</v>
      </c>
      <c r="B11" s="23" t="s">
        <v>44</v>
      </c>
      <c r="C11" s="19"/>
      <c r="D11" s="20"/>
      <c r="E11" s="20"/>
      <c r="F11" s="20" t="s">
        <v>30</v>
      </c>
      <c r="G11" s="19"/>
      <c r="H11" s="21">
        <f t="shared" ref="H11:H12" si="3">IF(C11="X",1)+IF(D11="X",2)+IF(E11="X",3)+IF(F11="X",4)+IF(G11="X",5)</f>
        <v>4</v>
      </c>
    </row>
    <row r="12" ht="22.5" customHeight="1">
      <c r="A12" s="22" t="s">
        <v>45</v>
      </c>
      <c r="B12" s="23" t="s">
        <v>46</v>
      </c>
      <c r="C12" s="19"/>
      <c r="D12" s="20"/>
      <c r="E12" s="19"/>
      <c r="F12" s="20"/>
      <c r="G12" s="20" t="s">
        <v>30</v>
      </c>
      <c r="H12" s="21">
        <f t="shared" si="3"/>
        <v>5</v>
      </c>
    </row>
    <row r="13" ht="22.5" customHeight="1">
      <c r="A13" s="24"/>
      <c r="B13" s="12" t="s">
        <v>47</v>
      </c>
      <c r="C13" s="19"/>
      <c r="D13" s="19"/>
      <c r="E13" s="19"/>
      <c r="F13" s="19"/>
      <c r="G13" s="19"/>
      <c r="H13" s="21"/>
    </row>
    <row r="14" ht="22.5" customHeight="1">
      <c r="A14" s="12" t="s">
        <v>48</v>
      </c>
      <c r="B14" s="23" t="s">
        <v>49</v>
      </c>
      <c r="C14" s="19"/>
      <c r="D14" s="19"/>
      <c r="E14" s="19"/>
      <c r="F14" s="20" t="s">
        <v>30</v>
      </c>
      <c r="G14" s="19"/>
      <c r="H14" s="21">
        <f t="shared" ref="H14:H16" si="4">IF(C14="X",1)+IF(D14="X",2)+IF(E14="X",3)+IF(F14="X",4)+IF(G14="X",5)</f>
        <v>4</v>
      </c>
    </row>
    <row r="15" ht="22.5" customHeight="1">
      <c r="A15" s="12" t="s">
        <v>50</v>
      </c>
      <c r="B15" s="23" t="s">
        <v>51</v>
      </c>
      <c r="C15" s="19"/>
      <c r="D15" s="19"/>
      <c r="E15" s="19"/>
      <c r="F15" s="19"/>
      <c r="G15" s="20" t="s">
        <v>30</v>
      </c>
      <c r="H15" s="21">
        <f t="shared" si="4"/>
        <v>5</v>
      </c>
    </row>
    <row r="16" ht="22.5" customHeight="1">
      <c r="A16" s="22" t="s">
        <v>52</v>
      </c>
      <c r="B16" s="23" t="s">
        <v>53</v>
      </c>
      <c r="C16" s="19"/>
      <c r="D16" s="19"/>
      <c r="E16" s="19"/>
      <c r="F16" s="20"/>
      <c r="G16" s="20" t="s">
        <v>30</v>
      </c>
      <c r="H16" s="21">
        <f t="shared" si="4"/>
        <v>5</v>
      </c>
    </row>
    <row r="17" ht="22.5" customHeight="1">
      <c r="A17" s="22" t="s">
        <v>54</v>
      </c>
      <c r="B17" s="15" t="s">
        <v>55</v>
      </c>
      <c r="C17" s="19"/>
      <c r="D17" s="19"/>
      <c r="E17" s="19"/>
      <c r="F17" s="19"/>
      <c r="G17" s="19"/>
      <c r="H17" s="21"/>
    </row>
    <row r="18" ht="22.5" customHeight="1">
      <c r="A18" s="12" t="s">
        <v>56</v>
      </c>
      <c r="B18" s="18" t="s">
        <v>57</v>
      </c>
      <c r="C18" s="19"/>
      <c r="D18" s="20"/>
      <c r="E18" s="20"/>
      <c r="F18" s="20" t="s">
        <v>30</v>
      </c>
      <c r="G18" s="19"/>
      <c r="H18" s="21">
        <f t="shared" ref="H18:H20" si="5">IF(C18="X",1)+IF(D18="X",2)+IF(E18="X",3)+IF(F18="X",4)+IF(G18="X",5)</f>
        <v>4</v>
      </c>
    </row>
    <row r="19" ht="22.5" customHeight="1">
      <c r="A19" s="22" t="s">
        <v>58</v>
      </c>
      <c r="B19" s="18" t="s">
        <v>59</v>
      </c>
      <c r="C19" s="19"/>
      <c r="D19" s="20"/>
      <c r="E19" s="20" t="s">
        <v>30</v>
      </c>
      <c r="F19" s="19"/>
      <c r="G19" s="19"/>
      <c r="H19" s="21">
        <f t="shared" si="5"/>
        <v>3</v>
      </c>
    </row>
    <row r="20" ht="22.5" customHeight="1">
      <c r="A20" s="12" t="s">
        <v>60</v>
      </c>
      <c r="B20" s="23" t="s">
        <v>61</v>
      </c>
      <c r="C20" s="19"/>
      <c r="D20" s="20" t="s">
        <v>30</v>
      </c>
      <c r="E20" s="19"/>
      <c r="F20" s="20"/>
      <c r="G20" s="19"/>
      <c r="H20" s="21">
        <f t="shared" si="5"/>
        <v>2</v>
      </c>
    </row>
    <row r="21" ht="22.5" customHeight="1">
      <c r="A21" s="24"/>
      <c r="B21" s="12" t="s">
        <v>35</v>
      </c>
      <c r="C21" s="19"/>
      <c r="D21" s="19"/>
      <c r="E21" s="19"/>
      <c r="F21" s="19"/>
      <c r="G21" s="19"/>
      <c r="H21" s="21"/>
    </row>
    <row r="22" ht="22.5" customHeight="1">
      <c r="A22" s="12" t="s">
        <v>62</v>
      </c>
      <c r="B22" s="23" t="s">
        <v>63</v>
      </c>
      <c r="C22" s="19"/>
      <c r="D22" s="19" t="s">
        <v>30</v>
      </c>
      <c r="E22" s="19"/>
      <c r="F22" s="19"/>
      <c r="G22" s="19"/>
      <c r="H22" s="21">
        <f t="shared" ref="H22:H24" si="6">IF(C22="X",1)+IF(D22="X",2)+IF(E22="X",3)+IF(F22="X",4)+IF(G22="X",5)</f>
        <v>2</v>
      </c>
    </row>
    <row r="23" ht="22.5" customHeight="1">
      <c r="A23" s="22" t="s">
        <v>64</v>
      </c>
      <c r="B23" s="23" t="s">
        <v>65</v>
      </c>
      <c r="C23" s="19"/>
      <c r="D23" s="20"/>
      <c r="E23" s="20" t="s">
        <v>30</v>
      </c>
      <c r="F23" s="19"/>
      <c r="G23" s="19"/>
      <c r="H23" s="21">
        <f t="shared" si="6"/>
        <v>3</v>
      </c>
    </row>
    <row r="24" ht="22.5" customHeight="1">
      <c r="A24" s="12" t="s">
        <v>66</v>
      </c>
      <c r="B24" s="23" t="s">
        <v>67</v>
      </c>
      <c r="C24" s="19"/>
      <c r="D24" s="19"/>
      <c r="E24" s="20" t="s">
        <v>30</v>
      </c>
      <c r="F24" s="19"/>
      <c r="G24" s="19"/>
      <c r="H24" s="21">
        <f t="shared" si="6"/>
        <v>3</v>
      </c>
    </row>
    <row r="25" ht="22.5" customHeight="1">
      <c r="A25" s="24"/>
      <c r="B25" s="12" t="s">
        <v>42</v>
      </c>
      <c r="C25" s="19"/>
      <c r="D25" s="19"/>
      <c r="E25" s="19"/>
      <c r="F25" s="19"/>
      <c r="G25" s="19"/>
      <c r="H25" s="21"/>
    </row>
    <row r="26" ht="22.5" customHeight="1">
      <c r="A26" s="12" t="s">
        <v>68</v>
      </c>
      <c r="B26" s="23" t="s">
        <v>69</v>
      </c>
      <c r="C26" s="19"/>
      <c r="D26" s="19"/>
      <c r="E26" s="19"/>
      <c r="F26" s="19" t="s">
        <v>30</v>
      </c>
      <c r="G26" s="19"/>
      <c r="H26" s="21">
        <f t="shared" ref="H26:H27" si="7">IF(C26="X",1)+IF(D26="X",2)+IF(E26="X",3)+IF(F26="X",4)+IF(G26="X",5)</f>
        <v>4</v>
      </c>
    </row>
    <row r="27" ht="22.5" customHeight="1">
      <c r="A27" s="22" t="s">
        <v>70</v>
      </c>
      <c r="B27" s="23" t="s">
        <v>71</v>
      </c>
      <c r="C27" s="19"/>
      <c r="D27" s="20" t="s">
        <v>30</v>
      </c>
      <c r="E27" s="19"/>
      <c r="F27" s="19"/>
      <c r="G27" s="19"/>
      <c r="H27" s="21">
        <f t="shared" si="7"/>
        <v>2</v>
      </c>
    </row>
    <row r="28" ht="22.5" customHeight="1">
      <c r="A28" s="24"/>
      <c r="B28" s="12" t="s">
        <v>47</v>
      </c>
      <c r="C28" s="19"/>
      <c r="D28" s="19"/>
      <c r="E28" s="19"/>
      <c r="F28" s="19"/>
      <c r="G28" s="19"/>
      <c r="H28" s="21"/>
    </row>
    <row r="29" ht="22.5" customHeight="1">
      <c r="A29" s="12" t="s">
        <v>72</v>
      </c>
      <c r="B29" s="23" t="s">
        <v>73</v>
      </c>
      <c r="C29" s="20"/>
      <c r="D29" s="19"/>
      <c r="E29" s="19"/>
      <c r="F29" s="20" t="s">
        <v>30</v>
      </c>
      <c r="G29" s="19"/>
      <c r="H29" s="21">
        <f t="shared" ref="H29:H31" si="8">IF(C29="X",1)+IF(D29="X",2)+IF(E29="X",3)+IF(F29="X",4)+IF(G29="X",5)</f>
        <v>4</v>
      </c>
    </row>
    <row r="30" ht="22.5" customHeight="1">
      <c r="A30" s="12" t="s">
        <v>74</v>
      </c>
      <c r="B30" s="23" t="s">
        <v>75</v>
      </c>
      <c r="C30" s="19"/>
      <c r="D30" s="20"/>
      <c r="E30" s="20" t="s">
        <v>30</v>
      </c>
      <c r="F30" s="19"/>
      <c r="G30" s="19"/>
      <c r="H30" s="21">
        <f t="shared" si="8"/>
        <v>3</v>
      </c>
    </row>
    <row r="31" ht="22.5" customHeight="1">
      <c r="A31" s="22" t="s">
        <v>76</v>
      </c>
      <c r="B31" s="23" t="s">
        <v>77</v>
      </c>
      <c r="C31" s="19"/>
      <c r="D31" s="20"/>
      <c r="E31" s="19"/>
      <c r="F31" s="19"/>
      <c r="G31" s="20" t="s">
        <v>30</v>
      </c>
      <c r="H31" s="21">
        <f t="shared" si="8"/>
        <v>5</v>
      </c>
    </row>
    <row r="32" ht="22.5" customHeight="1">
      <c r="A32" s="22" t="s">
        <v>78</v>
      </c>
      <c r="B32" s="15" t="s">
        <v>79</v>
      </c>
      <c r="C32" s="19"/>
      <c r="D32" s="19"/>
      <c r="E32" s="19"/>
      <c r="F32" s="19"/>
      <c r="G32" s="19"/>
      <c r="H32" s="21"/>
    </row>
    <row r="33" ht="22.5" customHeight="1">
      <c r="A33" s="12" t="s">
        <v>80</v>
      </c>
      <c r="B33" s="18" t="s">
        <v>81</v>
      </c>
      <c r="C33" s="20"/>
      <c r="D33" s="19"/>
      <c r="E33" s="20"/>
      <c r="F33" s="19"/>
      <c r="G33" s="20" t="s">
        <v>30</v>
      </c>
      <c r="H33" s="21">
        <f t="shared" ref="H33:H35" si="9">IF(C33="X",1)+IF(D33="X",2)+IF(E33="X",3)+IF(F33="X",4)+IF(G33="X",5)</f>
        <v>5</v>
      </c>
    </row>
    <row r="34" ht="22.5" customHeight="1">
      <c r="A34" s="22" t="s">
        <v>82</v>
      </c>
      <c r="B34" s="18" t="s">
        <v>83</v>
      </c>
      <c r="C34" s="20"/>
      <c r="D34" s="19"/>
      <c r="E34" s="19"/>
      <c r="F34" s="20" t="s">
        <v>30</v>
      </c>
      <c r="G34" s="19"/>
      <c r="H34" s="21">
        <f t="shared" si="9"/>
        <v>4</v>
      </c>
    </row>
    <row r="35" ht="22.5" customHeight="1">
      <c r="A35" s="12" t="s">
        <v>84</v>
      </c>
      <c r="B35" s="23" t="s">
        <v>85</v>
      </c>
      <c r="C35" s="20"/>
      <c r="D35" s="20" t="s">
        <v>30</v>
      </c>
      <c r="E35" s="19"/>
      <c r="F35" s="20"/>
      <c r="G35" s="19"/>
      <c r="H35" s="21">
        <f t="shared" si="9"/>
        <v>2</v>
      </c>
    </row>
    <row r="36" ht="22.5" customHeight="1">
      <c r="A36" s="24"/>
      <c r="B36" s="12" t="s">
        <v>35</v>
      </c>
      <c r="C36" s="19"/>
      <c r="D36" s="19"/>
      <c r="E36" s="19"/>
      <c r="F36" s="19"/>
      <c r="G36" s="19"/>
      <c r="H36" s="21"/>
    </row>
    <row r="37" ht="22.5" customHeight="1">
      <c r="A37" s="12" t="s">
        <v>86</v>
      </c>
      <c r="B37" s="23" t="s">
        <v>87</v>
      </c>
      <c r="C37" s="20"/>
      <c r="D37" s="19"/>
      <c r="E37" s="20" t="s">
        <v>30</v>
      </c>
      <c r="F37" s="19"/>
      <c r="G37" s="20"/>
      <c r="H37" s="21">
        <f t="shared" ref="H37:H39" si="10">IF(C37="X",1)+IF(D37="X",2)+IF(E37="X",3)+IF(F37="X",4)+IF(G37="X",5)</f>
        <v>3</v>
      </c>
    </row>
    <row r="38" ht="22.5" customHeight="1">
      <c r="A38" s="22" t="s">
        <v>88</v>
      </c>
      <c r="B38" s="23" t="s">
        <v>89</v>
      </c>
      <c r="C38" s="19"/>
      <c r="D38" s="20"/>
      <c r="E38" s="19"/>
      <c r="F38" s="20" t="s">
        <v>30</v>
      </c>
      <c r="G38" s="19"/>
      <c r="H38" s="21">
        <f t="shared" si="10"/>
        <v>4</v>
      </c>
    </row>
    <row r="39" ht="22.5" customHeight="1">
      <c r="A39" s="12" t="s">
        <v>90</v>
      </c>
      <c r="B39" s="23" t="s">
        <v>91</v>
      </c>
      <c r="C39" s="19"/>
      <c r="D39" s="20" t="s">
        <v>30</v>
      </c>
      <c r="E39" s="19"/>
      <c r="F39" s="20"/>
      <c r="G39" s="19"/>
      <c r="H39" s="21">
        <f t="shared" si="10"/>
        <v>2</v>
      </c>
    </row>
    <row r="40" ht="22.5" customHeight="1">
      <c r="A40" s="24"/>
      <c r="B40" s="12" t="s">
        <v>42</v>
      </c>
      <c r="C40" s="19"/>
      <c r="D40" s="19"/>
      <c r="E40" s="19"/>
      <c r="F40" s="19"/>
      <c r="G40" s="19"/>
      <c r="H40" s="21"/>
    </row>
    <row r="41" ht="22.5" customHeight="1">
      <c r="A41" s="12" t="s">
        <v>92</v>
      </c>
      <c r="B41" s="23" t="s">
        <v>93</v>
      </c>
      <c r="C41" s="19"/>
      <c r="D41" s="19"/>
      <c r="E41" s="19"/>
      <c r="F41" s="19"/>
      <c r="G41" s="20" t="s">
        <v>30</v>
      </c>
      <c r="H41" s="21">
        <f t="shared" ref="H41:H42" si="11">IF(C41="X",1)+IF(D41="X",2)+IF(E41="X",3)+IF(F41="X",4)+IF(G41="X",5)</f>
        <v>5</v>
      </c>
    </row>
    <row r="42" ht="22.5" customHeight="1">
      <c r="A42" s="22" t="s">
        <v>94</v>
      </c>
      <c r="B42" s="23" t="s">
        <v>95</v>
      </c>
      <c r="C42" s="19"/>
      <c r="D42" s="19" t="s">
        <v>30</v>
      </c>
      <c r="E42" s="19"/>
      <c r="F42" s="19"/>
      <c r="G42" s="19"/>
      <c r="H42" s="21">
        <f t="shared" si="11"/>
        <v>2</v>
      </c>
    </row>
    <row r="43" ht="22.5" customHeight="1">
      <c r="A43" s="24"/>
      <c r="B43" s="12" t="s">
        <v>47</v>
      </c>
      <c r="C43" s="19"/>
      <c r="D43" s="19"/>
      <c r="E43" s="19"/>
      <c r="F43" s="19"/>
      <c r="G43" s="19"/>
      <c r="H43" s="21"/>
    </row>
    <row r="44" ht="22.5" customHeight="1">
      <c r="A44" s="12" t="s">
        <v>96</v>
      </c>
      <c r="B44" s="23" t="s">
        <v>97</v>
      </c>
      <c r="C44" s="19"/>
      <c r="D44" s="20"/>
      <c r="E44" s="19"/>
      <c r="F44" s="20" t="s">
        <v>30</v>
      </c>
      <c r="G44" s="19"/>
      <c r="H44" s="21">
        <f t="shared" ref="H44:H46" si="12">IF(C44="X",1)+IF(D44="X",2)+IF(E44="X",3)+IF(F44="X",4)+IF(G44="X",5)</f>
        <v>4</v>
      </c>
    </row>
    <row r="45" ht="22.5" customHeight="1">
      <c r="A45" s="12" t="s">
        <v>98</v>
      </c>
      <c r="B45" s="23" t="s">
        <v>99</v>
      </c>
      <c r="C45" s="20"/>
      <c r="D45" s="19"/>
      <c r="E45" s="19"/>
      <c r="F45" s="19"/>
      <c r="G45" s="20" t="s">
        <v>30</v>
      </c>
      <c r="H45" s="21">
        <f t="shared" si="12"/>
        <v>5</v>
      </c>
    </row>
    <row r="46" ht="22.5" customHeight="1">
      <c r="A46" s="22" t="s">
        <v>100</v>
      </c>
      <c r="B46" s="23" t="s">
        <v>101</v>
      </c>
      <c r="C46" s="20"/>
      <c r="D46" s="19"/>
      <c r="E46" s="19"/>
      <c r="F46" s="19"/>
      <c r="G46" s="20" t="s">
        <v>30</v>
      </c>
      <c r="H46" s="21">
        <f t="shared" si="12"/>
        <v>5</v>
      </c>
    </row>
  </sheetData>
  <dataValidations>
    <dataValidation type="custom" allowBlank="1" showDropDown="1" sqref="H2:H46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63.38"/>
    <col customWidth="1" min="4" max="4" width="18.63"/>
    <col customWidth="1" min="6" max="6" width="21.38"/>
    <col customWidth="1" min="7" max="7" width="18.13"/>
    <col customWidth="1" min="8" max="8" width="15.75"/>
  </cols>
  <sheetData>
    <row r="1" ht="22.5" customHeight="1">
      <c r="A1" s="7" t="s">
        <v>15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3" t="s">
        <v>25</v>
      </c>
    </row>
    <row r="2" ht="22.5" customHeight="1">
      <c r="A2" s="12" t="s">
        <v>26</v>
      </c>
      <c r="B2" s="15" t="s">
        <v>27</v>
      </c>
      <c r="C2" s="16"/>
      <c r="D2" s="16"/>
      <c r="E2" s="16"/>
      <c r="F2" s="16"/>
      <c r="G2" s="16"/>
      <c r="H2" s="17"/>
    </row>
    <row r="3" ht="22.5" customHeight="1">
      <c r="A3" s="12" t="s">
        <v>28</v>
      </c>
      <c r="B3" s="18" t="s">
        <v>29</v>
      </c>
      <c r="C3" s="19"/>
      <c r="D3" s="20"/>
      <c r="E3" s="20"/>
      <c r="F3" s="20"/>
      <c r="G3" s="20" t="s">
        <v>30</v>
      </c>
      <c r="H3" s="21">
        <f t="shared" ref="H3:H5" si="1">IF(C3="X",1)+IF(D3="X",2)+IF(E3="X",3)+IF(F3="X",4)+IF(G3="X",5)</f>
        <v>5</v>
      </c>
    </row>
    <row r="4" ht="22.5" customHeight="1">
      <c r="A4" s="22" t="s">
        <v>31</v>
      </c>
      <c r="B4" s="18" t="s">
        <v>32</v>
      </c>
      <c r="C4" s="19"/>
      <c r="D4" s="19"/>
      <c r="E4" s="20" t="s">
        <v>30</v>
      </c>
      <c r="F4" s="20"/>
      <c r="G4" s="19"/>
      <c r="H4" s="21">
        <f t="shared" si="1"/>
        <v>3</v>
      </c>
    </row>
    <row r="5" ht="22.5" customHeight="1">
      <c r="A5" s="12" t="s">
        <v>33</v>
      </c>
      <c r="B5" s="23" t="s">
        <v>34</v>
      </c>
      <c r="C5" s="19"/>
      <c r="D5" s="19"/>
      <c r="E5" s="20"/>
      <c r="F5" s="19"/>
      <c r="G5" s="20" t="s">
        <v>30</v>
      </c>
      <c r="H5" s="21">
        <f t="shared" si="1"/>
        <v>5</v>
      </c>
    </row>
    <row r="6" ht="22.5" customHeight="1">
      <c r="A6" s="24"/>
      <c r="B6" s="12" t="s">
        <v>35</v>
      </c>
      <c r="C6" s="19"/>
      <c r="D6" s="19"/>
      <c r="E6" s="19"/>
      <c r="F6" s="19"/>
      <c r="G6" s="19"/>
      <c r="H6" s="21"/>
    </row>
    <row r="7" ht="22.5" customHeight="1">
      <c r="A7" s="12" t="s">
        <v>36</v>
      </c>
      <c r="B7" s="23" t="s">
        <v>37</v>
      </c>
      <c r="C7" s="20"/>
      <c r="D7" s="20"/>
      <c r="E7" s="19"/>
      <c r="F7" s="19"/>
      <c r="G7" s="20" t="s">
        <v>30</v>
      </c>
      <c r="H7" s="21">
        <f t="shared" ref="H7:H9" si="2">IF(C7="X",1)+IF(D7="X",2)+IF(E7="X",3)+IF(F7="X",4)+IF(G7="X",5)</f>
        <v>5</v>
      </c>
    </row>
    <row r="8" ht="22.5" customHeight="1">
      <c r="A8" s="22" t="s">
        <v>38</v>
      </c>
      <c r="B8" s="23" t="s">
        <v>39</v>
      </c>
      <c r="C8" s="19"/>
      <c r="D8" s="20"/>
      <c r="E8" s="19"/>
      <c r="F8" s="20"/>
      <c r="G8" s="20" t="s">
        <v>30</v>
      </c>
      <c r="H8" s="21">
        <f t="shared" si="2"/>
        <v>5</v>
      </c>
    </row>
    <row r="9" ht="22.5" customHeight="1">
      <c r="A9" s="12" t="s">
        <v>40</v>
      </c>
      <c r="B9" s="23" t="s">
        <v>41</v>
      </c>
      <c r="C9" s="19"/>
      <c r="D9" s="20"/>
      <c r="E9" s="20"/>
      <c r="F9" s="19"/>
      <c r="G9" s="20" t="s">
        <v>30</v>
      </c>
      <c r="H9" s="21">
        <f t="shared" si="2"/>
        <v>5</v>
      </c>
    </row>
    <row r="10" ht="22.5" customHeight="1">
      <c r="A10" s="24"/>
      <c r="B10" s="12" t="s">
        <v>42</v>
      </c>
      <c r="C10" s="19"/>
      <c r="D10" s="19"/>
      <c r="E10" s="19"/>
      <c r="F10" s="19"/>
      <c r="G10" s="19"/>
      <c r="H10" s="21"/>
    </row>
    <row r="11" ht="22.5" customHeight="1">
      <c r="A11" s="12" t="s">
        <v>43</v>
      </c>
      <c r="B11" s="23" t="s">
        <v>44</v>
      </c>
      <c r="C11" s="19"/>
      <c r="D11" s="20"/>
      <c r="E11" s="20"/>
      <c r="F11" s="20"/>
      <c r="G11" s="20" t="s">
        <v>30</v>
      </c>
      <c r="H11" s="21">
        <f t="shared" ref="H11:H12" si="3">IF(C11="X",1)+IF(D11="X",2)+IF(E11="X",3)+IF(F11="X",4)+IF(G11="X",5)</f>
        <v>5</v>
      </c>
    </row>
    <row r="12" ht="22.5" customHeight="1">
      <c r="A12" s="22" t="s">
        <v>45</v>
      </c>
      <c r="B12" s="23" t="s">
        <v>46</v>
      </c>
      <c r="C12" s="19"/>
      <c r="D12" s="20"/>
      <c r="E12" s="19"/>
      <c r="F12" s="20" t="s">
        <v>30</v>
      </c>
      <c r="G12" s="20"/>
      <c r="H12" s="21">
        <f t="shared" si="3"/>
        <v>4</v>
      </c>
    </row>
    <row r="13" ht="22.5" customHeight="1">
      <c r="A13" s="24"/>
      <c r="B13" s="12" t="s">
        <v>47</v>
      </c>
      <c r="C13" s="19"/>
      <c r="D13" s="19"/>
      <c r="E13" s="19"/>
      <c r="F13" s="19"/>
      <c r="G13" s="19"/>
      <c r="H13" s="21"/>
    </row>
    <row r="14" ht="22.5" customHeight="1">
      <c r="A14" s="12" t="s">
        <v>48</v>
      </c>
      <c r="B14" s="23" t="s">
        <v>49</v>
      </c>
      <c r="C14" s="19"/>
      <c r="D14" s="19"/>
      <c r="E14" s="19"/>
      <c r="F14" s="20" t="s">
        <v>30</v>
      </c>
      <c r="G14" s="19"/>
      <c r="H14" s="21">
        <f t="shared" ref="H14:H16" si="4">IF(C14="X",1)+IF(D14="X",2)+IF(E14="X",3)+IF(F14="X",4)+IF(G14="X",5)</f>
        <v>4</v>
      </c>
    </row>
    <row r="15" ht="22.5" customHeight="1">
      <c r="A15" s="12" t="s">
        <v>50</v>
      </c>
      <c r="B15" s="23" t="s">
        <v>51</v>
      </c>
      <c r="C15" s="19"/>
      <c r="D15" s="20" t="s">
        <v>30</v>
      </c>
      <c r="E15" s="19"/>
      <c r="F15" s="19"/>
      <c r="G15" s="20"/>
      <c r="H15" s="21">
        <f t="shared" si="4"/>
        <v>2</v>
      </c>
    </row>
    <row r="16" ht="22.5" customHeight="1">
      <c r="A16" s="22" t="s">
        <v>52</v>
      </c>
      <c r="B16" s="23" t="s">
        <v>53</v>
      </c>
      <c r="C16" s="19"/>
      <c r="D16" s="19"/>
      <c r="E16" s="20" t="s">
        <v>30</v>
      </c>
      <c r="F16" s="20"/>
      <c r="G16" s="20"/>
      <c r="H16" s="21">
        <f t="shared" si="4"/>
        <v>3</v>
      </c>
    </row>
    <row r="17" ht="22.5" customHeight="1">
      <c r="A17" s="22" t="s">
        <v>54</v>
      </c>
      <c r="B17" s="15" t="s">
        <v>55</v>
      </c>
      <c r="C17" s="19"/>
      <c r="D17" s="19"/>
      <c r="E17" s="19"/>
      <c r="F17" s="19"/>
      <c r="G17" s="19"/>
      <c r="H17" s="21"/>
    </row>
    <row r="18" ht="22.5" customHeight="1">
      <c r="A18" s="12" t="s">
        <v>56</v>
      </c>
      <c r="B18" s="18" t="s">
        <v>57</v>
      </c>
      <c r="C18" s="19"/>
      <c r="D18" s="20"/>
      <c r="E18" s="20"/>
      <c r="F18" s="20" t="s">
        <v>30</v>
      </c>
      <c r="G18" s="19"/>
      <c r="H18" s="21">
        <f t="shared" ref="H18:H20" si="5">IF(C18="X",1)+IF(D18="X",2)+IF(E18="X",3)+IF(F18="X",4)+IF(G18="X",5)</f>
        <v>4</v>
      </c>
    </row>
    <row r="19" ht="22.5" customHeight="1">
      <c r="A19" s="22" t="s">
        <v>58</v>
      </c>
      <c r="B19" s="18" t="s">
        <v>59</v>
      </c>
      <c r="C19" s="19"/>
      <c r="D19" s="20"/>
      <c r="E19" s="20"/>
      <c r="F19" s="20" t="s">
        <v>30</v>
      </c>
      <c r="G19" s="19"/>
      <c r="H19" s="21">
        <f t="shared" si="5"/>
        <v>4</v>
      </c>
    </row>
    <row r="20" ht="22.5" customHeight="1">
      <c r="A20" s="12" t="s">
        <v>60</v>
      </c>
      <c r="B20" s="23" t="s">
        <v>61</v>
      </c>
      <c r="C20" s="19"/>
      <c r="D20" s="20"/>
      <c r="E20" s="19"/>
      <c r="F20" s="20"/>
      <c r="G20" s="20" t="s">
        <v>30</v>
      </c>
      <c r="H20" s="21">
        <f t="shared" si="5"/>
        <v>5</v>
      </c>
    </row>
    <row r="21" ht="22.5" customHeight="1">
      <c r="A21" s="24"/>
      <c r="B21" s="12" t="s">
        <v>35</v>
      </c>
      <c r="C21" s="19"/>
      <c r="D21" s="19"/>
      <c r="E21" s="19"/>
      <c r="F21" s="19"/>
      <c r="G21" s="19"/>
      <c r="H21" s="21"/>
    </row>
    <row r="22" ht="22.5" customHeight="1">
      <c r="A22" s="12" t="s">
        <v>62</v>
      </c>
      <c r="B22" s="23" t="s">
        <v>63</v>
      </c>
      <c r="C22" s="19"/>
      <c r="D22" s="19"/>
      <c r="E22" s="19"/>
      <c r="F22" s="20" t="s">
        <v>30</v>
      </c>
      <c r="G22" s="19"/>
      <c r="H22" s="21">
        <f t="shared" ref="H22:H24" si="6">IF(C22="X",1)+IF(D22="X",2)+IF(E22="X",3)+IF(F22="X",4)+IF(G22="X",5)</f>
        <v>4</v>
      </c>
    </row>
    <row r="23" ht="22.5" customHeight="1">
      <c r="A23" s="22" t="s">
        <v>64</v>
      </c>
      <c r="B23" s="23" t="s">
        <v>65</v>
      </c>
      <c r="C23" s="19"/>
      <c r="D23" s="20"/>
      <c r="E23" s="20"/>
      <c r="F23" s="19"/>
      <c r="G23" s="20" t="s">
        <v>30</v>
      </c>
      <c r="H23" s="21">
        <f t="shared" si="6"/>
        <v>5</v>
      </c>
    </row>
    <row r="24" ht="22.5" customHeight="1">
      <c r="A24" s="12" t="s">
        <v>66</v>
      </c>
      <c r="B24" s="23" t="s">
        <v>67</v>
      </c>
      <c r="C24" s="19"/>
      <c r="D24" s="19"/>
      <c r="E24" s="20"/>
      <c r="F24" s="20" t="s">
        <v>30</v>
      </c>
      <c r="G24" s="19"/>
      <c r="H24" s="21">
        <f t="shared" si="6"/>
        <v>4</v>
      </c>
    </row>
    <row r="25" ht="22.5" customHeight="1">
      <c r="A25" s="24"/>
      <c r="B25" s="12" t="s">
        <v>42</v>
      </c>
      <c r="C25" s="19"/>
      <c r="D25" s="19"/>
      <c r="E25" s="19"/>
      <c r="F25" s="19"/>
      <c r="G25" s="19"/>
      <c r="H25" s="21"/>
    </row>
    <row r="26" ht="22.5" customHeight="1">
      <c r="A26" s="12" t="s">
        <v>68</v>
      </c>
      <c r="B26" s="23" t="s">
        <v>69</v>
      </c>
      <c r="C26" s="19"/>
      <c r="D26" s="20" t="s">
        <v>30</v>
      </c>
      <c r="E26" s="19"/>
      <c r="F26" s="19"/>
      <c r="G26" s="19"/>
      <c r="H26" s="21">
        <f t="shared" ref="H26:H27" si="7">IF(C26="X",1)+IF(D26="X",2)+IF(E26="X",3)+IF(F26="X",4)+IF(G26="X",5)</f>
        <v>2</v>
      </c>
    </row>
    <row r="27" ht="22.5" customHeight="1">
      <c r="A27" s="22" t="s">
        <v>70</v>
      </c>
      <c r="B27" s="23" t="s">
        <v>71</v>
      </c>
      <c r="C27" s="19"/>
      <c r="D27" s="20"/>
      <c r="E27" s="19"/>
      <c r="F27" s="19"/>
      <c r="G27" s="20" t="s">
        <v>30</v>
      </c>
      <c r="H27" s="21">
        <f t="shared" si="7"/>
        <v>5</v>
      </c>
    </row>
    <row r="28" ht="22.5" customHeight="1">
      <c r="A28" s="24"/>
      <c r="B28" s="12" t="s">
        <v>47</v>
      </c>
      <c r="C28" s="19"/>
      <c r="D28" s="19"/>
      <c r="E28" s="19"/>
      <c r="F28" s="19"/>
      <c r="G28" s="19"/>
      <c r="H28" s="21"/>
    </row>
    <row r="29" ht="22.5" customHeight="1">
      <c r="A29" s="12" t="s">
        <v>72</v>
      </c>
      <c r="B29" s="23" t="s">
        <v>73</v>
      </c>
      <c r="C29" s="20"/>
      <c r="D29" s="19"/>
      <c r="E29" s="19"/>
      <c r="F29" s="20" t="s">
        <v>30</v>
      </c>
      <c r="G29" s="19"/>
      <c r="H29" s="21">
        <f t="shared" ref="H29:H31" si="8">IF(C29="X",1)+IF(D29="X",2)+IF(E29="X",3)+IF(F29="X",4)+IF(G29="X",5)</f>
        <v>4</v>
      </c>
    </row>
    <row r="30" ht="22.5" customHeight="1">
      <c r="A30" s="12" t="s">
        <v>74</v>
      </c>
      <c r="B30" s="23" t="s">
        <v>75</v>
      </c>
      <c r="C30" s="19"/>
      <c r="D30" s="20"/>
      <c r="E30" s="20"/>
      <c r="F30" s="19"/>
      <c r="G30" s="20" t="s">
        <v>30</v>
      </c>
      <c r="H30" s="21">
        <f t="shared" si="8"/>
        <v>5</v>
      </c>
    </row>
    <row r="31" ht="22.5" customHeight="1">
      <c r="A31" s="22" t="s">
        <v>76</v>
      </c>
      <c r="B31" s="23" t="s">
        <v>77</v>
      </c>
      <c r="C31" s="19"/>
      <c r="D31" s="20" t="s">
        <v>30</v>
      </c>
      <c r="E31" s="19"/>
      <c r="F31" s="19"/>
      <c r="G31" s="20"/>
      <c r="H31" s="21">
        <f t="shared" si="8"/>
        <v>2</v>
      </c>
    </row>
    <row r="32" ht="22.5" customHeight="1">
      <c r="A32" s="22" t="s">
        <v>78</v>
      </c>
      <c r="B32" s="15" t="s">
        <v>79</v>
      </c>
      <c r="C32" s="19"/>
      <c r="D32" s="19"/>
      <c r="E32" s="19"/>
      <c r="F32" s="19"/>
      <c r="G32" s="19"/>
      <c r="H32" s="21"/>
    </row>
    <row r="33" ht="22.5" customHeight="1">
      <c r="A33" s="12" t="s">
        <v>80</v>
      </c>
      <c r="B33" s="18" t="s">
        <v>81</v>
      </c>
      <c r="C33" s="20"/>
      <c r="D33" s="19"/>
      <c r="E33" s="20"/>
      <c r="F33" s="19"/>
      <c r="G33" s="20" t="s">
        <v>30</v>
      </c>
      <c r="H33" s="21">
        <f t="shared" ref="H33:H35" si="9">IF(C33="X",1)+IF(D33="X",2)+IF(E33="X",3)+IF(F33="X",4)+IF(G33="X",5)</f>
        <v>5</v>
      </c>
    </row>
    <row r="34" ht="22.5" customHeight="1">
      <c r="A34" s="22" t="s">
        <v>82</v>
      </c>
      <c r="B34" s="18" t="s">
        <v>83</v>
      </c>
      <c r="C34" s="20"/>
      <c r="D34" s="19"/>
      <c r="E34" s="19"/>
      <c r="F34" s="20" t="s">
        <v>30</v>
      </c>
      <c r="G34" s="19"/>
      <c r="H34" s="21">
        <f t="shared" si="9"/>
        <v>4</v>
      </c>
    </row>
    <row r="35" ht="22.5" customHeight="1">
      <c r="A35" s="12" t="s">
        <v>84</v>
      </c>
      <c r="B35" s="23" t="s">
        <v>85</v>
      </c>
      <c r="C35" s="20"/>
      <c r="D35" s="20" t="s">
        <v>30</v>
      </c>
      <c r="E35" s="19"/>
      <c r="F35" s="20"/>
      <c r="G35" s="19"/>
      <c r="H35" s="21">
        <f t="shared" si="9"/>
        <v>2</v>
      </c>
    </row>
    <row r="36" ht="22.5" customHeight="1">
      <c r="A36" s="24"/>
      <c r="B36" s="12" t="s">
        <v>35</v>
      </c>
      <c r="C36" s="19"/>
      <c r="D36" s="19"/>
      <c r="E36" s="19"/>
      <c r="F36" s="19"/>
      <c r="G36" s="19"/>
      <c r="H36" s="21"/>
    </row>
    <row r="37" ht="22.5" customHeight="1">
      <c r="A37" s="12" t="s">
        <v>86</v>
      </c>
      <c r="B37" s="23" t="s">
        <v>87</v>
      </c>
      <c r="C37" s="20"/>
      <c r="D37" s="19"/>
      <c r="E37" s="20"/>
      <c r="F37" s="19"/>
      <c r="G37" s="20" t="s">
        <v>30</v>
      </c>
      <c r="H37" s="21">
        <f t="shared" ref="H37:H39" si="10">IF(C37="X",1)+IF(D37="X",2)+IF(E37="X",3)+IF(F37="X",4)+IF(G37="X",5)</f>
        <v>5</v>
      </c>
    </row>
    <row r="38" ht="22.5" customHeight="1">
      <c r="A38" s="22" t="s">
        <v>88</v>
      </c>
      <c r="B38" s="23" t="s">
        <v>89</v>
      </c>
      <c r="C38" s="19"/>
      <c r="D38" s="20" t="s">
        <v>30</v>
      </c>
      <c r="E38" s="19"/>
      <c r="F38" s="20"/>
      <c r="G38" s="19"/>
      <c r="H38" s="21">
        <f t="shared" si="10"/>
        <v>2</v>
      </c>
    </row>
    <row r="39" ht="22.5" customHeight="1">
      <c r="A39" s="12" t="s">
        <v>90</v>
      </c>
      <c r="B39" s="23" t="s">
        <v>91</v>
      </c>
      <c r="C39" s="19"/>
      <c r="D39" s="20"/>
      <c r="E39" s="19"/>
      <c r="F39" s="20"/>
      <c r="G39" s="20" t="s">
        <v>30</v>
      </c>
      <c r="H39" s="21">
        <f t="shared" si="10"/>
        <v>5</v>
      </c>
    </row>
    <row r="40" ht="22.5" customHeight="1">
      <c r="A40" s="24"/>
      <c r="B40" s="12" t="s">
        <v>42</v>
      </c>
      <c r="C40" s="19"/>
      <c r="D40" s="19"/>
      <c r="E40" s="19"/>
      <c r="F40" s="19"/>
      <c r="G40" s="19"/>
      <c r="H40" s="21"/>
    </row>
    <row r="41" ht="22.5" customHeight="1">
      <c r="A41" s="12" t="s">
        <v>92</v>
      </c>
      <c r="B41" s="23" t="s">
        <v>93</v>
      </c>
      <c r="C41" s="19"/>
      <c r="D41" s="19"/>
      <c r="E41" s="19"/>
      <c r="F41" s="20" t="s">
        <v>30</v>
      </c>
      <c r="G41" s="20"/>
      <c r="H41" s="21">
        <f t="shared" ref="H41:H42" si="11">IF(C41="X",1)+IF(D41="X",2)+IF(E41="X",3)+IF(F41="X",4)+IF(G41="X",5)</f>
        <v>4</v>
      </c>
    </row>
    <row r="42" ht="22.5" customHeight="1">
      <c r="A42" s="22" t="s">
        <v>94</v>
      </c>
      <c r="B42" s="23" t="s">
        <v>95</v>
      </c>
      <c r="C42" s="19"/>
      <c r="D42" s="19"/>
      <c r="E42" s="19"/>
      <c r="F42" s="19"/>
      <c r="G42" s="20" t="s">
        <v>30</v>
      </c>
      <c r="H42" s="21">
        <f t="shared" si="11"/>
        <v>5</v>
      </c>
    </row>
    <row r="43" ht="22.5" customHeight="1">
      <c r="A43" s="24"/>
      <c r="B43" s="12" t="s">
        <v>47</v>
      </c>
      <c r="C43" s="19"/>
      <c r="D43" s="19"/>
      <c r="E43" s="19"/>
      <c r="F43" s="19"/>
      <c r="G43" s="19"/>
      <c r="H43" s="21"/>
    </row>
    <row r="44" ht="22.5" customHeight="1">
      <c r="A44" s="12" t="s">
        <v>96</v>
      </c>
      <c r="B44" s="23" t="s">
        <v>97</v>
      </c>
      <c r="C44" s="20" t="s">
        <v>30</v>
      </c>
      <c r="D44" s="20"/>
      <c r="E44" s="19"/>
      <c r="F44" s="20"/>
      <c r="G44" s="19"/>
      <c r="H44" s="21">
        <f t="shared" ref="H44:H46" si="12">IF(C44="X",1)+IF(D44="X",2)+IF(E44="X",3)+IF(F44="X",4)+IF(G44="X",5)</f>
        <v>1</v>
      </c>
    </row>
    <row r="45" ht="22.5" customHeight="1">
      <c r="A45" s="12" t="s">
        <v>98</v>
      </c>
      <c r="B45" s="23" t="s">
        <v>99</v>
      </c>
      <c r="C45" s="20"/>
      <c r="D45" s="19"/>
      <c r="E45" s="20" t="s">
        <v>30</v>
      </c>
      <c r="F45" s="19"/>
      <c r="G45" s="20"/>
      <c r="H45" s="21">
        <f t="shared" si="12"/>
        <v>3</v>
      </c>
    </row>
    <row r="46" ht="22.5" customHeight="1">
      <c r="A46" s="22" t="s">
        <v>100</v>
      </c>
      <c r="B46" s="23" t="s">
        <v>101</v>
      </c>
      <c r="C46" s="20" t="s">
        <v>30</v>
      </c>
      <c r="D46" s="19"/>
      <c r="E46" s="19"/>
      <c r="F46" s="19"/>
      <c r="G46" s="20"/>
      <c r="H46" s="21">
        <f t="shared" si="12"/>
        <v>1</v>
      </c>
    </row>
  </sheetData>
  <dataValidations>
    <dataValidation type="custom" allowBlank="1" showDropDown="1" sqref="H2:H46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38"/>
    <col customWidth="1" min="10" max="10" width="30.38"/>
  </cols>
  <sheetData>
    <row r="1">
      <c r="A1" s="5"/>
      <c r="B1" s="25"/>
      <c r="C1" s="27" t="s">
        <v>20</v>
      </c>
      <c r="D1" s="27" t="s">
        <v>21</v>
      </c>
      <c r="E1" s="27" t="s">
        <v>22</v>
      </c>
      <c r="F1" s="27" t="s">
        <v>23</v>
      </c>
      <c r="G1" s="27" t="s">
        <v>24</v>
      </c>
      <c r="H1" s="28" t="s">
        <v>25</v>
      </c>
      <c r="I1" s="30"/>
      <c r="J1" s="5"/>
    </row>
    <row r="2">
      <c r="A2" s="27" t="s">
        <v>26</v>
      </c>
      <c r="B2" s="31" t="s">
        <v>107</v>
      </c>
      <c r="C2" s="33"/>
      <c r="D2" s="33"/>
      <c r="E2" s="33"/>
      <c r="F2" s="33"/>
      <c r="G2" s="33"/>
      <c r="H2" s="33"/>
      <c r="I2" s="33"/>
      <c r="J2" s="33"/>
    </row>
    <row r="3">
      <c r="A3" s="27" t="s">
        <v>28</v>
      </c>
      <c r="B3" s="34" t="s">
        <v>108</v>
      </c>
      <c r="C3" s="5"/>
      <c r="D3" s="5"/>
      <c r="E3" s="5"/>
      <c r="F3" s="5"/>
      <c r="G3" s="5"/>
      <c r="H3" s="37">
        <f>AVERAGE(Quest.Utente1!H3,Quest.Utente2!H3,Quest.Utente3!H3,Quest.Utente4!H3)</f>
        <v>3.75</v>
      </c>
      <c r="I3" s="38" t="s">
        <v>109</v>
      </c>
      <c r="J3" s="27" t="s">
        <v>19</v>
      </c>
    </row>
    <row r="4">
      <c r="A4" s="39" t="s">
        <v>31</v>
      </c>
      <c r="B4" s="34" t="s">
        <v>110</v>
      </c>
      <c r="C4" s="5"/>
      <c r="D4" s="5"/>
      <c r="E4" s="5"/>
      <c r="F4" s="5"/>
      <c r="G4" s="5"/>
      <c r="H4" s="37">
        <f>AVERAGE(Quest.Utente1!H4,Quest.Utente2!H4,Quest.Utente3!H4,Quest.Utente4!H4)</f>
        <v>3.75</v>
      </c>
      <c r="I4" s="38" t="s">
        <v>109</v>
      </c>
      <c r="J4" s="5"/>
    </row>
    <row r="5">
      <c r="A5" s="27" t="s">
        <v>33</v>
      </c>
      <c r="B5" s="41" t="s">
        <v>111</v>
      </c>
      <c r="C5" s="5"/>
      <c r="D5" s="5"/>
      <c r="E5" s="5"/>
      <c r="F5" s="5"/>
      <c r="G5" s="5"/>
      <c r="H5" s="37">
        <f>AVERAGE(Quest.Utente1!H5,Quest.Utente2!H5,Quest.Utente3!H5,Quest.Utente4!H5)</f>
        <v>3.75</v>
      </c>
      <c r="I5" s="38" t="s">
        <v>109</v>
      </c>
      <c r="J5" s="5"/>
    </row>
    <row r="6">
      <c r="A6" s="43"/>
      <c r="B6" s="5"/>
      <c r="C6" s="5"/>
      <c r="D6" s="5"/>
      <c r="E6" s="5"/>
      <c r="F6" s="5"/>
      <c r="G6" s="5"/>
      <c r="H6" s="44">
        <f>AVERAGE(H3:H5)</f>
        <v>3.75</v>
      </c>
      <c r="I6" s="38" t="s">
        <v>112</v>
      </c>
      <c r="J6" s="27" t="s">
        <v>19</v>
      </c>
    </row>
    <row r="7">
      <c r="A7" s="27" t="s">
        <v>36</v>
      </c>
      <c r="B7" s="41" t="s">
        <v>113</v>
      </c>
      <c r="C7" s="5"/>
      <c r="D7" s="5"/>
      <c r="E7" s="5"/>
      <c r="F7" s="5"/>
      <c r="G7" s="5"/>
      <c r="H7" s="37">
        <f>AVERAGE(Quest.Utente1!H7,Quest.Utente2!H7,Quest.Utente3!H7,Quest.Utente4!H7)</f>
        <v>3.25</v>
      </c>
      <c r="I7" s="5"/>
      <c r="J7" s="5"/>
    </row>
    <row r="8">
      <c r="A8" s="39" t="s">
        <v>38</v>
      </c>
      <c r="B8" s="41" t="s">
        <v>114</v>
      </c>
      <c r="C8" s="5"/>
      <c r="D8" s="5"/>
      <c r="E8" s="5"/>
      <c r="F8" s="5"/>
      <c r="G8" s="5"/>
      <c r="H8" s="37">
        <f>AVERAGE(Quest.Utente1!H8,Quest.Utente2!H8,Quest.Utente3!H8,Quest.Utente4!H8)</f>
        <v>4</v>
      </c>
      <c r="I8" s="5"/>
      <c r="J8" s="5"/>
    </row>
    <row r="9">
      <c r="A9" s="27" t="s">
        <v>40</v>
      </c>
      <c r="B9" s="41" t="s">
        <v>115</v>
      </c>
      <c r="C9" s="5"/>
      <c r="D9" s="5"/>
      <c r="E9" s="5"/>
      <c r="F9" s="5"/>
      <c r="G9" s="5"/>
      <c r="H9" s="37">
        <f>AVERAGE(Quest.Utente1!H9,Quest.Utente2!H9,Quest.Utente3!H9,Quest.Utente4!H9)</f>
        <v>3.75</v>
      </c>
      <c r="I9" s="5"/>
      <c r="J9" s="5"/>
    </row>
    <row r="10">
      <c r="A10" s="43"/>
      <c r="B10" s="5"/>
      <c r="C10" s="5"/>
      <c r="D10" s="5"/>
      <c r="E10" s="5"/>
      <c r="F10" s="5"/>
      <c r="G10" s="5"/>
      <c r="H10" s="44">
        <f>AVERAGE(H7:H9)</f>
        <v>3.666666667</v>
      </c>
      <c r="I10" s="5"/>
      <c r="J10" s="27" t="s">
        <v>35</v>
      </c>
    </row>
    <row r="11">
      <c r="A11" s="27" t="s">
        <v>43</v>
      </c>
      <c r="B11" s="41" t="s">
        <v>116</v>
      </c>
      <c r="C11" s="5"/>
      <c r="D11" s="5"/>
      <c r="E11" s="5"/>
      <c r="F11" s="5"/>
      <c r="G11" s="5"/>
      <c r="H11" s="37">
        <f>AVERAGE(Quest.Utente1!H11,Quest.Utente2!H11,Quest.Utente3!H11,Quest.Utente4!H11)</f>
        <v>4</v>
      </c>
      <c r="I11" s="5"/>
      <c r="J11" s="5"/>
    </row>
    <row r="12">
      <c r="A12" s="39" t="s">
        <v>45</v>
      </c>
      <c r="B12" s="41" t="s">
        <v>117</v>
      </c>
      <c r="C12" s="5"/>
      <c r="D12" s="5"/>
      <c r="E12" s="5"/>
      <c r="F12" s="5"/>
      <c r="G12" s="5"/>
      <c r="H12" s="37">
        <f>AVERAGE(Quest.Utente1!H12,Quest.Utente2!H12,Quest.Utente3!H12,Quest.Utente4!H12)</f>
        <v>4</v>
      </c>
      <c r="I12" s="5"/>
      <c r="J12" s="5"/>
    </row>
    <row r="13">
      <c r="A13" s="43"/>
      <c r="B13" s="5"/>
      <c r="C13" s="5"/>
      <c r="D13" s="5"/>
      <c r="E13" s="5"/>
      <c r="F13" s="5"/>
      <c r="G13" s="5"/>
      <c r="H13" s="44">
        <f>AVERAGE(H11:H12)</f>
        <v>4</v>
      </c>
      <c r="I13" s="5"/>
      <c r="J13" s="27" t="s">
        <v>42</v>
      </c>
    </row>
    <row r="14">
      <c r="A14" s="27" t="s">
        <v>48</v>
      </c>
      <c r="B14" s="41" t="s">
        <v>118</v>
      </c>
      <c r="C14" s="5"/>
      <c r="D14" s="5"/>
      <c r="E14" s="5"/>
      <c r="F14" s="5"/>
      <c r="G14" s="5"/>
      <c r="H14" s="37">
        <f>AVERAGE(Quest.Utente1!H14,Quest.Utente2!H14,Quest.Utente3!H14,Quest.Utente4!H14)</f>
        <v>3.5</v>
      </c>
      <c r="I14" s="5"/>
      <c r="J14" s="5"/>
    </row>
    <row r="15">
      <c r="A15" s="39" t="s">
        <v>50</v>
      </c>
      <c r="B15" s="41" t="s">
        <v>119</v>
      </c>
      <c r="C15" s="5"/>
      <c r="D15" s="5"/>
      <c r="E15" s="5"/>
      <c r="F15" s="5"/>
      <c r="G15" s="5"/>
      <c r="H15" s="37">
        <f>AVERAGE(Quest.Utente1!H15,Quest.Utente2!H15,Quest.Utente3!H15,Quest.Utente4!H15)</f>
        <v>3.25</v>
      </c>
      <c r="I15" s="5"/>
      <c r="J15" s="5"/>
    </row>
    <row r="16">
      <c r="A16" s="39" t="s">
        <v>52</v>
      </c>
      <c r="B16" s="41" t="s">
        <v>120</v>
      </c>
      <c r="C16" s="5"/>
      <c r="D16" s="5"/>
      <c r="E16" s="5"/>
      <c r="F16" s="5"/>
      <c r="G16" s="5"/>
      <c r="H16" s="37">
        <f>AVERAGE(Quest.Utente1!H16,Quest.Utente2!H16,Quest.Utente3!H16,Quest.Utente4!H16)</f>
        <v>3.5</v>
      </c>
      <c r="I16" s="5"/>
      <c r="J16" s="5"/>
    </row>
    <row r="17">
      <c r="A17" s="43"/>
      <c r="B17" s="5"/>
      <c r="C17" s="5"/>
      <c r="D17" s="5"/>
      <c r="E17" s="5"/>
      <c r="F17" s="5"/>
      <c r="G17" s="5"/>
      <c r="H17" s="45">
        <f>AVERAGE(H14:H16)</f>
        <v>3.416666667</v>
      </c>
      <c r="I17" s="5"/>
      <c r="J17" s="27" t="s">
        <v>47</v>
      </c>
    </row>
    <row r="18">
      <c r="A18" s="27" t="s">
        <v>54</v>
      </c>
      <c r="B18" s="31" t="s">
        <v>121</v>
      </c>
      <c r="C18" s="33"/>
      <c r="D18" s="33"/>
      <c r="E18" s="33"/>
      <c r="F18" s="33"/>
      <c r="G18" s="33"/>
      <c r="H18" s="33"/>
      <c r="I18" s="33"/>
      <c r="J18" s="33"/>
    </row>
    <row r="19">
      <c r="A19" s="27" t="s">
        <v>56</v>
      </c>
      <c r="B19" s="34" t="s">
        <v>122</v>
      </c>
      <c r="C19" s="5"/>
      <c r="D19" s="5"/>
      <c r="E19" s="5"/>
      <c r="F19" s="5"/>
      <c r="G19" s="5"/>
      <c r="H19" s="37">
        <f>AVERAGE(Quest.Utente1!H18,Quest.Utente2!H18,Quest.Utente3!H18,Quest.Utente4!H18)</f>
        <v>4</v>
      </c>
      <c r="I19" s="38" t="s">
        <v>109</v>
      </c>
      <c r="J19" s="27" t="s">
        <v>19</v>
      </c>
    </row>
    <row r="20">
      <c r="A20" s="39" t="s">
        <v>58</v>
      </c>
      <c r="B20" s="34" t="s">
        <v>123</v>
      </c>
      <c r="C20" s="5"/>
      <c r="D20" s="5"/>
      <c r="E20" s="5"/>
      <c r="F20" s="5"/>
      <c r="G20" s="5"/>
      <c r="H20" s="37">
        <f>AVERAGE(Quest.Utente1!H19,Quest.Utente2!H19,Quest.Utente3!H19,Quest.Utente4!H19)</f>
        <v>3.5</v>
      </c>
      <c r="I20" s="38" t="s">
        <v>109</v>
      </c>
      <c r="J20" s="5"/>
    </row>
    <row r="21">
      <c r="A21" s="27" t="s">
        <v>60</v>
      </c>
      <c r="B21" s="41" t="s">
        <v>124</v>
      </c>
      <c r="C21" s="5"/>
      <c r="D21" s="5"/>
      <c r="E21" s="5"/>
      <c r="F21" s="5"/>
      <c r="G21" s="5"/>
      <c r="H21" s="37">
        <f>AVERAGE(Quest.Utente1!H20,Quest.Utente2!H20,Quest.Utente3!H20,Quest.Utente4!H20)</f>
        <v>3.5</v>
      </c>
      <c r="I21" s="38" t="s">
        <v>109</v>
      </c>
      <c r="J21" s="5"/>
    </row>
    <row r="22">
      <c r="A22" s="43"/>
      <c r="B22" s="5"/>
      <c r="C22" s="5"/>
      <c r="D22" s="5"/>
      <c r="E22" s="5"/>
      <c r="F22" s="5"/>
      <c r="G22" s="5"/>
      <c r="H22" s="44">
        <f>AVERAGE(H19:H21)</f>
        <v>3.666666667</v>
      </c>
      <c r="I22" s="38" t="s">
        <v>112</v>
      </c>
      <c r="J22" s="27" t="s">
        <v>19</v>
      </c>
    </row>
    <row r="23">
      <c r="A23" s="27" t="s">
        <v>62</v>
      </c>
      <c r="B23" s="41" t="s">
        <v>125</v>
      </c>
      <c r="C23" s="5"/>
      <c r="D23" s="5"/>
      <c r="E23" s="5"/>
      <c r="F23" s="5"/>
      <c r="G23" s="5"/>
      <c r="H23" s="37">
        <f>AVERAGE(Quest.Utente1!H22,Quest.Utente2!H22,Quest.Utente3!H22,Quest.Utente4!H22)</f>
        <v>3.25</v>
      </c>
      <c r="I23" s="5"/>
      <c r="J23" s="5"/>
    </row>
    <row r="24">
      <c r="A24" s="39" t="s">
        <v>64</v>
      </c>
      <c r="B24" s="41" t="s">
        <v>126</v>
      </c>
      <c r="C24" s="5"/>
      <c r="D24" s="5"/>
      <c r="E24" s="5"/>
      <c r="F24" s="5"/>
      <c r="G24" s="5"/>
      <c r="H24" s="37">
        <f>AVERAGE(Quest.Utente1!H23,Quest.Utente2!H23,Quest.Utente3!H23,Quest.Utente4!H23)</f>
        <v>3.75</v>
      </c>
      <c r="I24" s="5"/>
      <c r="J24" s="5"/>
    </row>
    <row r="25">
      <c r="A25" s="27" t="s">
        <v>66</v>
      </c>
      <c r="B25" s="41" t="s">
        <v>127</v>
      </c>
      <c r="C25" s="5"/>
      <c r="D25" s="5"/>
      <c r="E25" s="5"/>
      <c r="F25" s="5"/>
      <c r="G25" s="5"/>
      <c r="H25" s="37">
        <f>AVERAGE(Quest.Utente1!H24,Quest.Utente2!H24,Quest.Utente3!H24,Quest.Utente4!H24)</f>
        <v>3.5</v>
      </c>
      <c r="I25" s="5"/>
      <c r="J25" s="5"/>
    </row>
    <row r="26">
      <c r="A26" s="43"/>
      <c r="B26" s="5"/>
      <c r="C26" s="5"/>
      <c r="D26" s="5"/>
      <c r="E26" s="5"/>
      <c r="F26" s="5"/>
      <c r="G26" s="5"/>
      <c r="H26" s="44">
        <f>AVERAGE(H23:H25)</f>
        <v>3.5</v>
      </c>
      <c r="I26" s="5"/>
      <c r="J26" s="27" t="s">
        <v>35</v>
      </c>
    </row>
    <row r="27">
      <c r="A27" s="27" t="s">
        <v>68</v>
      </c>
      <c r="B27" s="41" t="s">
        <v>128</v>
      </c>
      <c r="C27" s="5"/>
      <c r="D27" s="5"/>
      <c r="E27" s="5"/>
      <c r="F27" s="5"/>
      <c r="G27" s="5"/>
      <c r="H27" s="37">
        <f>AVERAGE(Quest.Utente1!H26,Quest.Utente2!H26,Quest.Utente3!H26,Quest.Utente4!H26)</f>
        <v>3.75</v>
      </c>
      <c r="I27" s="5"/>
      <c r="J27" s="5"/>
    </row>
    <row r="28">
      <c r="A28" s="39" t="s">
        <v>70</v>
      </c>
      <c r="B28" s="41" t="s">
        <v>129</v>
      </c>
      <c r="C28" s="5"/>
      <c r="D28" s="5"/>
      <c r="E28" s="5"/>
      <c r="F28" s="5"/>
      <c r="G28" s="5"/>
      <c r="H28" s="37">
        <f>AVERAGE(Quest.Utente1!H27,Quest.Utente2!H27,Quest.Utente3!H27,Quest.Utente4!H27)</f>
        <v>3.5</v>
      </c>
      <c r="I28" s="5"/>
      <c r="J28" s="5"/>
    </row>
    <row r="29">
      <c r="A29" s="43"/>
      <c r="B29" s="5"/>
      <c r="C29" s="5"/>
      <c r="D29" s="5"/>
      <c r="E29" s="5"/>
      <c r="F29" s="5"/>
      <c r="G29" s="5"/>
      <c r="H29" s="44">
        <f>AVERAGE(H27:H28)</f>
        <v>3.625</v>
      </c>
      <c r="I29" s="5"/>
      <c r="J29" s="27" t="s">
        <v>42</v>
      </c>
    </row>
    <row r="30">
      <c r="A30" s="27" t="s">
        <v>72</v>
      </c>
      <c r="B30" s="41" t="s">
        <v>130</v>
      </c>
      <c r="C30" s="5"/>
      <c r="D30" s="5"/>
      <c r="E30" s="5"/>
      <c r="F30" s="5"/>
      <c r="G30" s="5"/>
      <c r="H30" s="37">
        <f>AVERAGE(Quest.Utente1!H29,Quest.Utente2!H29,Quest.Utente3!H29,Quest.Utente4!H29)</f>
        <v>3.5</v>
      </c>
      <c r="I30" s="5"/>
      <c r="J30" s="5"/>
    </row>
    <row r="31">
      <c r="A31" s="39" t="s">
        <v>74</v>
      </c>
      <c r="B31" s="41" t="s">
        <v>131</v>
      </c>
      <c r="C31" s="5"/>
      <c r="D31" s="5"/>
      <c r="E31" s="5"/>
      <c r="F31" s="5"/>
      <c r="G31" s="5"/>
      <c r="H31" s="37">
        <f>AVERAGE(Quest.Utente1!H30,Quest.Utente2!H30,Quest.Utente3!H30,Quest.Utente4!H30)</f>
        <v>3.75</v>
      </c>
      <c r="I31" s="5"/>
      <c r="J31" s="5"/>
    </row>
    <row r="32">
      <c r="A32" s="39" t="s">
        <v>76</v>
      </c>
      <c r="B32" s="41" t="s">
        <v>132</v>
      </c>
      <c r="C32" s="5"/>
      <c r="D32" s="5"/>
      <c r="E32" s="5"/>
      <c r="F32" s="5"/>
      <c r="G32" s="5"/>
      <c r="H32" s="37">
        <f>AVERAGE(Quest.Utente1!H31,Quest.Utente2!H31,Quest.Utente3!H31,Quest.Utente4!H31)</f>
        <v>3.5</v>
      </c>
      <c r="I32" s="5"/>
      <c r="J32" s="5"/>
    </row>
    <row r="33">
      <c r="A33" s="43"/>
      <c r="B33" s="5"/>
      <c r="C33" s="5"/>
      <c r="D33" s="5"/>
      <c r="E33" s="5"/>
      <c r="F33" s="5"/>
      <c r="G33" s="5"/>
      <c r="H33" s="44">
        <f>AVERAGE(H30:H32)</f>
        <v>3.583333333</v>
      </c>
      <c r="I33" s="5"/>
      <c r="J33" s="27" t="s">
        <v>47</v>
      </c>
    </row>
    <row r="34">
      <c r="A34" s="27" t="s">
        <v>78</v>
      </c>
      <c r="B34" s="31" t="s">
        <v>133</v>
      </c>
      <c r="C34" s="33"/>
      <c r="D34" s="33"/>
      <c r="E34" s="33"/>
      <c r="F34" s="33"/>
      <c r="G34" s="33"/>
      <c r="H34" s="33"/>
      <c r="I34" s="33"/>
      <c r="J34" s="33"/>
    </row>
    <row r="35">
      <c r="A35" s="27" t="s">
        <v>80</v>
      </c>
      <c r="B35" s="34" t="s">
        <v>134</v>
      </c>
      <c r="C35" s="5"/>
      <c r="D35" s="5"/>
      <c r="E35" s="5"/>
      <c r="F35" s="5"/>
      <c r="G35" s="5"/>
      <c r="H35" s="37">
        <f>AVERAGE(Quest.Utente1!H33,Quest.Utente2!H33,Quest.Utente3!H33,Quest.Utente4!H33)</f>
        <v>4</v>
      </c>
      <c r="I35" s="38" t="s">
        <v>109</v>
      </c>
      <c r="J35" s="27" t="s">
        <v>19</v>
      </c>
    </row>
    <row r="36">
      <c r="A36" s="39" t="s">
        <v>82</v>
      </c>
      <c r="B36" s="34" t="s">
        <v>135</v>
      </c>
      <c r="C36" s="5"/>
      <c r="D36" s="5"/>
      <c r="E36" s="5"/>
      <c r="F36" s="5"/>
      <c r="G36" s="5"/>
      <c r="H36" s="37">
        <f>AVERAGE(Quest.Utente1!H34,Quest.Utente2!H34,Quest.Utente3!H34,Quest.Utente4!H34)</f>
        <v>3.5</v>
      </c>
      <c r="I36" s="38" t="s">
        <v>109</v>
      </c>
      <c r="J36" s="5"/>
    </row>
    <row r="37">
      <c r="A37" s="27" t="s">
        <v>84</v>
      </c>
      <c r="B37" s="41" t="s">
        <v>136</v>
      </c>
      <c r="C37" s="5"/>
      <c r="D37" s="5"/>
      <c r="E37" s="5"/>
      <c r="F37" s="5"/>
      <c r="G37" s="5"/>
      <c r="H37" s="37">
        <f>AVERAGE(Quest.Utente1!H35,Quest.Utente2!H35,Quest.Utente3!H35,Quest.Utente4!H35)</f>
        <v>2.25</v>
      </c>
      <c r="I37" s="38" t="s">
        <v>109</v>
      </c>
      <c r="J37" s="5"/>
    </row>
    <row r="38">
      <c r="A38" s="43"/>
      <c r="B38" s="5"/>
      <c r="C38" s="5"/>
      <c r="D38" s="5"/>
      <c r="E38" s="5"/>
      <c r="F38" s="5"/>
      <c r="G38" s="5"/>
      <c r="H38" s="44">
        <f>AVERAGE(H35:H37)</f>
        <v>3.25</v>
      </c>
      <c r="I38" s="38" t="s">
        <v>112</v>
      </c>
      <c r="J38" s="27" t="s">
        <v>19</v>
      </c>
    </row>
    <row r="39">
      <c r="A39" s="27" t="s">
        <v>86</v>
      </c>
      <c r="B39" s="41" t="s">
        <v>137</v>
      </c>
      <c r="C39" s="5"/>
      <c r="D39" s="5"/>
      <c r="E39" s="5"/>
      <c r="F39" s="5"/>
      <c r="G39" s="5"/>
      <c r="H39" s="37">
        <f>AVERAGE(Quest.Utente1!H37,Quest.Utente2!H37,Quest.Utente3!H37,Quest.Utente4!H37)</f>
        <v>3.5</v>
      </c>
      <c r="I39" s="5"/>
      <c r="J39" s="5"/>
    </row>
    <row r="40">
      <c r="A40" s="39" t="s">
        <v>88</v>
      </c>
      <c r="B40" s="41" t="s">
        <v>138</v>
      </c>
      <c r="C40" s="5"/>
      <c r="D40" s="5"/>
      <c r="E40" s="5"/>
      <c r="F40" s="5"/>
      <c r="G40" s="5"/>
      <c r="H40" s="37">
        <f>AVERAGE(Quest.Utente1!H38,Quest.Utente2!H38,Quest.Utente3!H38,Quest.Utente4!H38)</f>
        <v>3</v>
      </c>
      <c r="I40" s="5"/>
      <c r="J40" s="5"/>
    </row>
    <row r="41">
      <c r="A41" s="27" t="s">
        <v>90</v>
      </c>
      <c r="B41" s="41" t="s">
        <v>139</v>
      </c>
      <c r="C41" s="5"/>
      <c r="D41" s="5"/>
      <c r="E41" s="5"/>
      <c r="F41" s="5"/>
      <c r="G41" s="5"/>
      <c r="H41" s="37">
        <f>AVERAGE(Quest.Utente1!H39,Quest.Utente2!H39,Quest.Utente3!H39,Quest.Utente4!H39)</f>
        <v>3.5</v>
      </c>
      <c r="I41" s="5"/>
      <c r="J41" s="5"/>
    </row>
    <row r="42">
      <c r="A42" s="43"/>
      <c r="B42" s="5"/>
      <c r="C42" s="5"/>
      <c r="D42" s="5"/>
      <c r="E42" s="5"/>
      <c r="F42" s="5"/>
      <c r="G42" s="5"/>
      <c r="H42" s="44">
        <f>AVERAGE(H39:H41)</f>
        <v>3.333333333</v>
      </c>
      <c r="I42" s="5"/>
      <c r="J42" s="27" t="s">
        <v>35</v>
      </c>
    </row>
    <row r="43">
      <c r="A43" s="27" t="s">
        <v>92</v>
      </c>
      <c r="B43" s="41" t="s">
        <v>140</v>
      </c>
      <c r="C43" s="5"/>
      <c r="D43" s="5"/>
      <c r="E43" s="5"/>
      <c r="F43" s="5"/>
      <c r="G43" s="5"/>
      <c r="H43" s="37">
        <f>AVERAGE(Quest.Utente1!H41,Quest.Utente2!H41,Quest.Utente3!H41,Quest.Utente4!H41)</f>
        <v>4</v>
      </c>
      <c r="I43" s="5"/>
      <c r="J43" s="5"/>
    </row>
    <row r="44">
      <c r="A44" s="39" t="s">
        <v>94</v>
      </c>
      <c r="B44" s="41" t="s">
        <v>141</v>
      </c>
      <c r="C44" s="5"/>
      <c r="D44" s="5"/>
      <c r="E44" s="5"/>
      <c r="F44" s="5"/>
      <c r="G44" s="5"/>
      <c r="H44" s="37">
        <f>AVERAGE(Quest.Utente1!H42,Quest.Utente2!H42,Quest.Utente3!H42,Quest.Utente4!H42)</f>
        <v>3.25</v>
      </c>
      <c r="I44" s="5"/>
      <c r="J44" s="5"/>
    </row>
    <row r="45">
      <c r="A45" s="43"/>
      <c r="B45" s="5"/>
      <c r="C45" s="5"/>
      <c r="D45" s="5"/>
      <c r="E45" s="5"/>
      <c r="F45" s="5"/>
      <c r="G45" s="5"/>
      <c r="H45" s="44">
        <f>AVERAGE(H43:H44)</f>
        <v>3.625</v>
      </c>
      <c r="I45" s="5"/>
      <c r="J45" s="27" t="s">
        <v>42</v>
      </c>
    </row>
    <row r="46">
      <c r="A46" s="27" t="s">
        <v>96</v>
      </c>
      <c r="B46" s="41" t="s">
        <v>142</v>
      </c>
      <c r="C46" s="5"/>
      <c r="D46" s="5"/>
      <c r="E46" s="5"/>
      <c r="F46" s="5"/>
      <c r="G46" s="5"/>
      <c r="H46" s="37">
        <f>AVERAGE(Quest.Utente1!H44,Quest.Utente2!H44,Quest.Utente3!H44,Quest.Utente4!H44)</f>
        <v>2.5</v>
      </c>
      <c r="I46" s="5"/>
      <c r="J46" s="5"/>
    </row>
    <row r="47">
      <c r="A47" s="39" t="s">
        <v>98</v>
      </c>
      <c r="B47" s="41" t="s">
        <v>143</v>
      </c>
      <c r="C47" s="5"/>
      <c r="D47" s="5"/>
      <c r="E47" s="5"/>
      <c r="F47" s="5"/>
      <c r="G47" s="5"/>
      <c r="H47" s="37">
        <f>AVERAGE(Quest.Utente1!H45,Quest.Utente2!H45,Quest.Utente3!H45,Quest.Utente4!H45)</f>
        <v>3.5</v>
      </c>
      <c r="I47" s="5"/>
      <c r="J47" s="5"/>
    </row>
    <row r="48">
      <c r="A48" s="39" t="s">
        <v>100</v>
      </c>
      <c r="B48" s="41" t="s">
        <v>120</v>
      </c>
      <c r="C48" s="5"/>
      <c r="D48" s="5"/>
      <c r="E48" s="5"/>
      <c r="F48" s="5"/>
      <c r="G48" s="5"/>
      <c r="H48" s="37">
        <f>AVERAGE(Quest.Utente1!H46,Quest.Utente2!H46,Quest.Utente3!H46,Quest.Utente4!H46)</f>
        <v>2.75</v>
      </c>
      <c r="I48" s="5"/>
      <c r="J48" s="5"/>
    </row>
    <row r="49">
      <c r="A49" s="43"/>
      <c r="B49" s="5"/>
      <c r="C49" s="5"/>
      <c r="D49" s="5"/>
      <c r="E49" s="5"/>
      <c r="F49" s="5"/>
      <c r="G49" s="5"/>
      <c r="H49" s="45">
        <f>AVERAGE(H46:H48)</f>
        <v>2.916666667</v>
      </c>
      <c r="I49" s="5"/>
      <c r="J49" s="27" t="s">
        <v>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102</v>
      </c>
      <c r="B1" s="26" t="s">
        <v>103</v>
      </c>
      <c r="C1" s="26" t="s">
        <v>104</v>
      </c>
      <c r="D1" s="26" t="s">
        <v>105</v>
      </c>
      <c r="E1" s="26" t="s">
        <v>106</v>
      </c>
    </row>
    <row r="2">
      <c r="A2" s="29" t="s">
        <v>26</v>
      </c>
      <c r="B2" s="32">
        <f>MEDIE!H6</f>
        <v>3.75</v>
      </c>
      <c r="C2" s="32">
        <f>MEDIE!H10</f>
        <v>3.666666667</v>
      </c>
      <c r="D2" s="32">
        <f>MEDIE!H13</f>
        <v>4</v>
      </c>
      <c r="E2" s="32">
        <f>MEDIE!H17</f>
        <v>3.416666667</v>
      </c>
    </row>
    <row r="3">
      <c r="A3" s="35" t="s">
        <v>54</v>
      </c>
      <c r="B3" s="36">
        <f>MEDIE!H22</f>
        <v>3.666666667</v>
      </c>
      <c r="C3" s="36">
        <f>MEDIE!H26</f>
        <v>3.5</v>
      </c>
      <c r="D3" s="36">
        <f>MEDIE!H29</f>
        <v>3.625</v>
      </c>
      <c r="E3" s="36">
        <f>MEDIE!H33</f>
        <v>3.583333333</v>
      </c>
    </row>
    <row r="4">
      <c r="A4" s="29" t="s">
        <v>78</v>
      </c>
      <c r="B4" s="32">
        <f>MEDIE!H38</f>
        <v>3.25</v>
      </c>
      <c r="C4" s="32">
        <f>MEDIE!H42</f>
        <v>3.333333333</v>
      </c>
      <c r="D4" s="32">
        <f>MEDIE!H45</f>
        <v>3.625</v>
      </c>
      <c r="E4" s="40">
        <f>MEDIE!H49</f>
        <v>2.916666667</v>
      </c>
    </row>
    <row r="5">
      <c r="A5" s="5"/>
      <c r="B5" s="5"/>
      <c r="C5" s="5"/>
      <c r="D5" s="5"/>
      <c r="E5" s="5"/>
    </row>
    <row r="6">
      <c r="A6" s="42"/>
      <c r="B6" s="5"/>
      <c r="C6" s="5"/>
      <c r="D6" s="5"/>
      <c r="E6" s="5"/>
    </row>
  </sheetData>
  <drawing r:id="rId1"/>
</worksheet>
</file>